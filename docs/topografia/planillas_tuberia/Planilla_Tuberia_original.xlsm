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AND\Downloads\"/>
    </mc:Choice>
  </mc:AlternateContent>
  <xr:revisionPtr revIDLastSave="0" documentId="8_{A98A903B-D7C0-48F0-BAB2-599B72D2A406}" xr6:coauthVersionLast="47" xr6:coauthVersionMax="47" xr10:uidLastSave="{00000000-0000-0000-0000-000000000000}"/>
  <bookViews>
    <workbookView xWindow="-108" yWindow="-108" windowWidth="23256" windowHeight="12456" firstSheet="1" activeTab="1" xr2:uid="{F500BCD9-CB36-4AAA-BCE2-2650C0C2594A}"/>
  </bookViews>
  <sheets>
    <sheet name="Tbl_Auxiliares" sheetId="3" state="veryHidden" r:id="rId1"/>
    <sheet name="planilla" sheetId="1" r:id="rId2"/>
    <sheet name="Resumen_BASE" sheetId="2" state="veryHidden" r:id="rId3"/>
  </sheets>
  <definedNames>
    <definedName name="_xlpm.h" hidden="1" xlm="1">#NAME?</definedName>
    <definedName name="_xlpm.r" hidden="1" xlm="1">#NAME?</definedName>
    <definedName name="_xlnm.Print_Area" localSheetId="1">planilla!$A$1:$N$66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0" i="1" l="1"/>
  <c r="B21" i="1" s="1"/>
  <c r="B19" i="1"/>
  <c r="I45" i="1"/>
  <c r="I47" i="1"/>
  <c r="I46" i="1"/>
  <c r="J36" i="1"/>
  <c r="J35" i="1"/>
  <c r="J34" i="1"/>
  <c r="J33" i="1"/>
  <c r="J32" i="1"/>
  <c r="J31" i="1"/>
  <c r="J30" i="1"/>
  <c r="J29" i="1"/>
  <c r="J28" i="1"/>
  <c r="J27" i="1"/>
  <c r="J26" i="1"/>
  <c r="J25" i="1"/>
  <c r="D7" i="3"/>
  <c r="G36" i="1"/>
  <c r="G35" i="1"/>
  <c r="G34" i="1"/>
  <c r="G33" i="1"/>
  <c r="G32" i="1"/>
  <c r="G31" i="1"/>
  <c r="G30" i="1"/>
  <c r="G29" i="1"/>
  <c r="G28" i="1"/>
  <c r="G27" i="1"/>
  <c r="G26" i="1"/>
  <c r="G25" i="1"/>
  <c r="G20" i="1"/>
  <c r="G18" i="1"/>
  <c r="G17" i="1"/>
  <c r="L18" i="1"/>
  <c r="E48" i="1"/>
  <c r="E45" i="1"/>
  <c r="E15" i="1"/>
  <c r="B15" i="1" s="1"/>
  <c r="H36" i="1"/>
  <c r="I35" i="1"/>
  <c r="I34" i="1"/>
  <c r="I33" i="1"/>
  <c r="B24" i="3"/>
  <c r="B23" i="3"/>
  <c r="B22" i="3"/>
  <c r="B21" i="3"/>
  <c r="B7" i="3"/>
  <c r="B6" i="3"/>
  <c r="B5" i="3"/>
  <c r="E24" i="3"/>
  <c r="D24" i="3"/>
  <c r="C24" i="3"/>
  <c r="E23" i="3"/>
  <c r="D23" i="3"/>
  <c r="C23" i="3"/>
  <c r="E22" i="3"/>
  <c r="D22" i="3"/>
  <c r="C22" i="3"/>
  <c r="E21" i="3"/>
  <c r="D21" i="3"/>
  <c r="C21" i="3"/>
  <c r="E8" i="3"/>
  <c r="D8" i="3"/>
  <c r="C8" i="3"/>
  <c r="E6" i="3"/>
  <c r="D6" i="3"/>
  <c r="C6" i="3"/>
  <c r="E5" i="3"/>
  <c r="D5" i="3"/>
  <c r="C5" i="3"/>
  <c r="E4" i="3"/>
  <c r="C4" i="3"/>
  <c r="K13" i="1"/>
  <c r="F14" i="1"/>
  <c r="M13" i="1"/>
  <c r="D16" i="1"/>
  <c r="E16" i="1"/>
  <c r="D4" i="3" s="1"/>
  <c r="H20" i="1" l="1"/>
  <c r="B22" i="1"/>
  <c r="G21" i="1"/>
  <c r="I21" i="1" s="1"/>
  <c r="B9" i="3"/>
  <c r="E9" i="3"/>
  <c r="D9" i="3"/>
  <c r="C9" i="3"/>
  <c r="B8" i="3"/>
  <c r="K45" i="1"/>
  <c r="M45" i="1"/>
  <c r="M46" i="1"/>
  <c r="C15" i="1"/>
  <c r="M47" i="1" s="1"/>
  <c r="N45" i="1"/>
  <c r="C7" i="3"/>
  <c r="G19" i="1"/>
  <c r="H19" i="1" s="1"/>
  <c r="J20" i="1" s="1"/>
  <c r="E7" i="3"/>
  <c r="E46" i="1"/>
  <c r="E49" i="1"/>
  <c r="H33" i="1"/>
  <c r="H17" i="1"/>
  <c r="H18" i="1"/>
  <c r="H21" i="1"/>
  <c r="H34" i="1"/>
  <c r="H35" i="1"/>
  <c r="I17" i="1"/>
  <c r="I18" i="1"/>
  <c r="I20" i="1"/>
  <c r="I36" i="1"/>
  <c r="D10" i="3" l="1"/>
  <c r="C10" i="3"/>
  <c r="B23" i="1"/>
  <c r="B10" i="3"/>
  <c r="G22" i="1"/>
  <c r="E10" i="3"/>
  <c r="I19" i="1"/>
  <c r="J19" i="1"/>
  <c r="J23" i="1"/>
  <c r="J22" i="1"/>
  <c r="J21" i="1"/>
  <c r="J18" i="1"/>
  <c r="H26" i="1"/>
  <c r="I26" i="1"/>
  <c r="E13" i="3"/>
  <c r="B13" i="3"/>
  <c r="D13" i="3"/>
  <c r="C13" i="3"/>
  <c r="E14" i="3"/>
  <c r="B14" i="3"/>
  <c r="D14" i="3"/>
  <c r="C14" i="3"/>
  <c r="B24" i="1" l="1"/>
  <c r="B11" i="3"/>
  <c r="G23" i="1"/>
  <c r="E11" i="3"/>
  <c r="D11" i="3"/>
  <c r="C11" i="3"/>
  <c r="I11" i="1"/>
  <c r="B13" i="1" s="1"/>
  <c r="B41" i="1"/>
  <c r="J11" i="1"/>
  <c r="E13" i="1" s="1"/>
  <c r="I22" i="1"/>
  <c r="H22" i="1"/>
  <c r="H27" i="1"/>
  <c r="I27" i="1"/>
  <c r="I25" i="1"/>
  <c r="H25" i="1"/>
  <c r="B15" i="3"/>
  <c r="E15" i="3"/>
  <c r="D15" i="3"/>
  <c r="C15" i="3"/>
  <c r="D8" i="1"/>
  <c r="I23" i="1" l="1"/>
  <c r="H23" i="1"/>
  <c r="K47" i="1"/>
  <c r="N47" i="1" s="1"/>
  <c r="G49" i="1" s="1"/>
  <c r="D45" i="1"/>
  <c r="K46" i="1"/>
  <c r="N46" i="1" s="1"/>
  <c r="G48" i="1" s="1"/>
  <c r="G24" i="1"/>
  <c r="G41" i="1" s="1"/>
  <c r="F45" i="1" s="1"/>
  <c r="E12" i="3"/>
  <c r="C12" i="3"/>
  <c r="D12" i="3"/>
  <c r="B12" i="3"/>
  <c r="J24" i="1"/>
  <c r="I28" i="1"/>
  <c r="H28" i="1"/>
  <c r="B16" i="3"/>
  <c r="E16" i="3"/>
  <c r="D16" i="3"/>
  <c r="C16" i="3"/>
  <c r="D50" i="1" l="1"/>
  <c r="D46" i="1"/>
  <c r="H46" i="1" s="1"/>
  <c r="D48" i="1"/>
  <c r="D49" i="1"/>
  <c r="D47" i="1"/>
  <c r="H47" i="1" s="1"/>
  <c r="H24" i="1"/>
  <c r="I24" i="1"/>
  <c r="H29" i="1"/>
  <c r="I29" i="1"/>
  <c r="E17" i="3"/>
  <c r="D17" i="3"/>
  <c r="B17" i="3"/>
  <c r="C17" i="3"/>
  <c r="H30" i="1" l="1"/>
  <c r="I30" i="1"/>
  <c r="E18" i="3"/>
  <c r="C18" i="3"/>
  <c r="D18" i="3"/>
  <c r="B18" i="3"/>
  <c r="H31" i="1" l="1"/>
  <c r="I31" i="1"/>
  <c r="B19" i="3"/>
  <c r="C19" i="3"/>
  <c r="E19" i="3"/>
  <c r="D19" i="3"/>
  <c r="H32" i="1" l="1"/>
  <c r="J41" i="1" s="1"/>
  <c r="I32" i="1"/>
  <c r="H45" i="1"/>
  <c r="E20" i="3"/>
  <c r="B20" i="3"/>
  <c r="D20" i="3"/>
  <c r="C20" i="3"/>
  <c r="B37" i="1"/>
  <c r="I41" i="1" l="1"/>
  <c r="F49" i="1" s="1"/>
  <c r="H49" i="1" s="1"/>
  <c r="H41" i="1"/>
  <c r="K23" i="1"/>
  <c r="F48" i="1"/>
  <c r="B38" i="1"/>
  <c r="B25" i="3"/>
  <c r="H48" i="1" l="1"/>
  <c r="K30" i="1"/>
  <c r="E50" i="1"/>
  <c r="H50" i="1" s="1"/>
  <c r="B39" i="1"/>
  <c r="B26" i="3"/>
  <c r="B40" i="1" l="1"/>
  <c r="B27" i="3"/>
  <c r="B28" i="3" l="1"/>
  <c r="D37" i="1" l="1"/>
  <c r="J37" i="1" l="1"/>
  <c r="F37" i="1"/>
  <c r="D38" i="1"/>
  <c r="E37" i="1" l="1"/>
  <c r="D25" i="3" s="1"/>
  <c r="E25" i="3"/>
  <c r="J38" i="1"/>
  <c r="F38" i="1"/>
  <c r="D39" i="1"/>
  <c r="E38" i="1" l="1"/>
  <c r="D26" i="3" s="1"/>
  <c r="E26" i="3"/>
  <c r="J39" i="1"/>
  <c r="F39" i="1"/>
  <c r="D40" i="1"/>
  <c r="E39" i="1" l="1"/>
  <c r="D27" i="3" s="1"/>
  <c r="E27" i="3"/>
  <c r="J40" i="1"/>
  <c r="F40" i="1"/>
  <c r="E40" i="1" l="1"/>
  <c r="D28" i="3" s="1"/>
  <c r="E28" i="3"/>
  <c r="H37" i="1" l="1"/>
  <c r="I37" i="1" s="1"/>
  <c r="C37" i="1"/>
  <c r="G37" i="1"/>
  <c r="C25" i="3" l="1"/>
  <c r="C38" i="1"/>
  <c r="H38" i="1"/>
  <c r="I38" i="1" s="1"/>
  <c r="G38" i="1"/>
  <c r="C26" i="3" l="1"/>
  <c r="C39" i="1"/>
  <c r="H39" i="1"/>
  <c r="I39" i="1" s="1"/>
  <c r="C27" i="3" l="1"/>
  <c r="G39" i="1"/>
  <c r="H40" i="1"/>
  <c r="I40" i="1" s="1"/>
  <c r="C40" i="1"/>
  <c r="G40" i="1" l="1"/>
  <c r="C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JORAND</author>
  </authors>
  <commentList>
    <comment ref="B15" authorId="0" shapeId="0" xr:uid="{602EC4AF-CB98-437C-B54B-F62CB896495C}">
      <text>
        <r>
          <rPr>
            <b/>
            <sz val="9"/>
            <color indexed="81"/>
            <rFont val="Tahoma"/>
            <family val="2"/>
          </rPr>
          <t>JORAND:</t>
        </r>
        <r>
          <rPr>
            <sz val="9"/>
            <color indexed="81"/>
            <rFont val="Tahoma"/>
            <family val="2"/>
          </rPr>
          <t xml:space="preserve">
Área de segmento circular del tubo (diámetro exterior = I13 + 2*J13). Altura h se toma del ratio en D15: 1:2 = medio tubo, 1:3 = altura al tercio. A = r^2*ACOS((r-h)/r) - (r-h)*RAIZ(2rh - h^2).</t>
        </r>
      </text>
    </comment>
    <comment ref="E15" authorId="0" shapeId="0" xr:uid="{4898C73E-3602-4552-8339-135E50B52C9F}">
      <text>
        <r>
          <rPr>
            <b/>
            <sz val="9"/>
            <color indexed="81"/>
            <rFont val="Tahoma"/>
            <family val="2"/>
          </rPr>
          <t>JORAND:</t>
        </r>
        <r>
          <rPr>
            <sz val="9"/>
            <color indexed="81"/>
            <rFont val="Tahoma"/>
            <family val="2"/>
          </rPr>
          <t xml:space="preserve">
Altura del atraque (h) medida desde la base del tubo: diámetro exterior (I13+2*J13) dividido por el denominador de la relación de D15. 1:2 = medio tubo, 1:3 = altura al tercio. Es la altura del rectángulo al que se le descuenta el Área 1 (B15).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<sst xmlns="http://schemas.openxmlformats.org/spreadsheetml/2006/main" count="93" uniqueCount="84">
  <si>
    <t>ABSCISA</t>
  </si>
  <si>
    <t>TIPO DE RED</t>
  </si>
  <si>
    <t>Contratista:</t>
  </si>
  <si>
    <t>Interventoría:</t>
  </si>
  <si>
    <t>FECHA DE ELABORACIÓN</t>
  </si>
  <si>
    <t>TIPO ELEMENTO INICIAL</t>
  </si>
  <si>
    <t>NORTE ELEMENTO INICIAL</t>
  </si>
  <si>
    <t>ESTE ELEMENTO INICIAL</t>
  </si>
  <si>
    <t>RASANTE ELEMENTO INICIAL</t>
  </si>
  <si>
    <t>CLAVE INICIAL</t>
  </si>
  <si>
    <t>TIPO ELEMENTO FINAL</t>
  </si>
  <si>
    <t>NORTE ELEMENTO FINAL</t>
  </si>
  <si>
    <t>ESTE ELEMENTO FINAL</t>
  </si>
  <si>
    <t>T.N. ELEMENTO FINAL</t>
  </si>
  <si>
    <t>RASANTE ELEMENTO FINAL</t>
  </si>
  <si>
    <t>CLAVE FINAL</t>
  </si>
  <si>
    <t>MATERIAL</t>
  </si>
  <si>
    <t>θ TUBERÍA</t>
  </si>
  <si>
    <t>LONGITUD UTIL TRAMO</t>
  </si>
  <si>
    <t>Aprobó:</t>
  </si>
  <si>
    <t>Relleno Material Reciclado</t>
  </si>
  <si>
    <t>Volumen Excavacion</t>
  </si>
  <si>
    <t>Relleno B-200</t>
  </si>
  <si>
    <t>Volumen Triturado</t>
  </si>
  <si>
    <t>Volumen Mejoramiento</t>
  </si>
  <si>
    <t>Area Entibado</t>
  </si>
  <si>
    <t>Resumen de Cantidades</t>
  </si>
  <si>
    <t>Descuentos Específicos</t>
  </si>
  <si>
    <t>T. N. ELEMENTO INICIAL</t>
  </si>
  <si>
    <t>AREA TUBERÍA</t>
  </si>
  <si>
    <t>CONCRETO</t>
  </si>
  <si>
    <t>GS VIAS Y ESTRUCTURAS SAS</t>
  </si>
  <si>
    <t>CONSORCIO SILVANIA MC SAS</t>
  </si>
  <si>
    <t>JAIRO ANTONIO NOVA RODRIGUEZ</t>
  </si>
  <si>
    <t>Apoyo a la Supervisión</t>
  </si>
  <si>
    <t>PLANILLA DE INSTALACIÓN DE TUBERÍA ALCANTARILLAS</t>
  </si>
  <si>
    <t>PLANILLA DE INSTALACIÓN DE FILTROS</t>
  </si>
  <si>
    <t>Terreno Natural</t>
  </si>
  <si>
    <t>Cota Fondo Excavación</t>
  </si>
  <si>
    <t>INF-ING - TOP - 001 - V0</t>
  </si>
  <si>
    <t>Altura Excavacion</t>
  </si>
  <si>
    <t>Altura Relleno</t>
  </si>
  <si>
    <t>Altura Triturado</t>
  </si>
  <si>
    <t>INFORMACION DEL CONTRATO</t>
  </si>
  <si>
    <t>ICCU - CTO - 1614 - 2026
MEJORAMIENTO DE LA VÍA QUE COMUNICA A LOS MUNICIPIOS DE SILVANIA Y TIBACUY, TRAMO CUMACA – TIBACUY – CLUB EL BOSQUE, DEPARTAMENTO DE CUNDINAMARCA</t>
  </si>
  <si>
    <t>ESP. TUBERÍA</t>
  </si>
  <si>
    <t>θ TUBERÍA
(Mts)</t>
  </si>
  <si>
    <t>PK_ID</t>
  </si>
  <si>
    <t>Costado</t>
  </si>
  <si>
    <t>Abs Inicial</t>
  </si>
  <si>
    <t>Abs Final</t>
  </si>
  <si>
    <t>Norte Abs Inicial</t>
  </si>
  <si>
    <t>Este Abs Incial</t>
  </si>
  <si>
    <t>Abscisa Inicial</t>
  </si>
  <si>
    <t>Abscisa Final</t>
  </si>
  <si>
    <t>Norte Abs Final</t>
  </si>
  <si>
    <t>Este Abs Final</t>
  </si>
  <si>
    <t>Altura Atraque</t>
  </si>
  <si>
    <t>Anc. Excavación</t>
  </si>
  <si>
    <t>Area 1</t>
  </si>
  <si>
    <t>Area 2</t>
  </si>
  <si>
    <t>APOYO GRÁFICO PERFIL (no editar - se alimenta de la hoja planilla)</t>
  </si>
  <si>
    <t>Abscisa</t>
  </si>
  <si>
    <t>Excavación Roca</t>
  </si>
  <si>
    <t>Relleno Gran.</t>
  </si>
  <si>
    <t>Geotextil</t>
  </si>
  <si>
    <t>Item</t>
  </si>
  <si>
    <t>Long</t>
  </si>
  <si>
    <t>Ancho</t>
  </si>
  <si>
    <t>Espesor</t>
  </si>
  <si>
    <t>Cantidad</t>
  </si>
  <si>
    <t>Otros</t>
  </si>
  <si>
    <t>Desc.</t>
  </si>
  <si>
    <t>Elaboró</t>
  </si>
  <si>
    <t>Long Tubería</t>
  </si>
  <si>
    <t>Rigoberto Sinchacá</t>
  </si>
  <si>
    <t>Topografo de Obra (Contratista)</t>
  </si>
  <si>
    <t>Nathalia Jimenez</t>
  </si>
  <si>
    <t>Topografo Interventoria</t>
  </si>
  <si>
    <t>Excavación Varias</t>
  </si>
  <si>
    <t>Ancho Geotextil</t>
  </si>
  <si>
    <t>Triturado / Atraque</t>
  </si>
  <si>
    <t>GRAFICO</t>
  </si>
  <si>
    <t>1:1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</si>
</sst>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\K0\+000.00"/>
    <numFmt numFmtId="165" formatCode="0.000"/>
    <numFmt numFmtId="166" formatCode="[$-F800]dddd\,\ mmmm\ dd\,\ yyyy"/>
    <numFmt numFmtId="167" formatCode="0.000&quot; m2&quot;"/>
    <numFmt numFmtId="168" formatCode="0.000&quot; m3&quot;"/>
    <numFmt numFmtId="169" formatCode="&quot;Prom &quot;0.000"/>
    <numFmt numFmtId="170" formatCode="0.00000000000000"/>
    <numFmt numFmtId="171" formatCode="&quot;Alt. Prom &quot;0.000"/>
    <numFmt numFmtId="172" formatCode="&quot;Long Tramo &quot;0.00"/>
    <numFmt numFmtId="173" formatCode="&quot;Anc. Prom &quot;0.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Arial"/>
      <family val="2"/>
    </font>
    <font>
      <b/>
      <sz val="15"/>
      <name val="Arial Narrow"/>
      <family val="2"/>
    </font>
    <font>
      <b/>
      <sz val="15"/>
      <color theme="1"/>
      <name val="Arial Narrow"/>
      <family val="2"/>
    </font>
    <font>
      <b/>
      <sz val="13"/>
      <color theme="1"/>
      <name val="Arial Narrow"/>
      <family val="2"/>
    </font>
    <font>
      <b/>
      <i/>
      <sz val="15"/>
      <name val="Arial Narrow"/>
      <family val="2"/>
    </font>
    <font>
      <b/>
      <sz val="10"/>
      <color theme="1"/>
      <name val="Arial Narrow"/>
      <family val="2"/>
    </font>
    <font>
      <sz val="9"/>
      <name val="Arial Narrow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sz val="12"/>
      <name val="Arial Narrow"/>
      <family val="2"/>
    </font>
    <font>
      <sz val="12"/>
      <name val="Arial"/>
      <family val="2"/>
    </font>
    <font>
      <b/>
      <sz val="12"/>
      <name val="Arial Narrow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name val="Lato"/>
      <family val="2"/>
    </font>
    <font>
      <b/>
      <sz val="12"/>
      <name val="Lato"/>
      <family val="2"/>
    </font>
    <font>
      <sz val="12"/>
      <color theme="1"/>
      <name val="Lato"/>
      <family val="2"/>
    </font>
    <font>
      <b/>
      <sz val="15"/>
      <color theme="1"/>
      <name val="Arial"/>
      <family val="2"/>
    </font>
    <font>
      <b/>
      <sz val="15"/>
      <name val="Arial"/>
      <family val="2"/>
    </font>
    <font>
      <sz val="15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Arial Narrow"/>
      <family val="2"/>
    </font>
    <font>
      <b/>
      <sz val="10"/>
      <color theme="1"/>
      <name val="Calibri"/>
      <family val="2"/>
      <scheme val="minor"/>
    </font>
    <font>
      <b/>
      <sz val="12"/>
      <color theme="0"/>
      <name val="Lato"/>
    </font>
    <font>
      <sz val="12"/>
      <name val="Lato"/>
    </font>
    <font>
      <b/>
      <sz val="12"/>
      <color theme="1"/>
      <name val="Lato"/>
    </font>
    <font>
      <b/>
      <u/>
      <sz val="12"/>
      <name val="Lato"/>
    </font>
  </fonts>
  <fills count="1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429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</fills>
  <borders count="10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uble">
        <color auto="1"/>
      </right>
      <top/>
      <bottom style="dotted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 style="dotted">
        <color auto="1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auto="1"/>
      </left>
      <right style="thin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 style="medium">
        <color indexed="64"/>
      </top>
      <bottom style="double">
        <color auto="1"/>
      </bottom>
      <diagonal/>
    </border>
    <border>
      <left style="double">
        <color auto="1"/>
      </left>
      <right/>
      <top style="dotted">
        <color auto="1"/>
      </top>
      <bottom style="double">
        <color auto="1"/>
      </bottom>
      <diagonal/>
    </border>
    <border>
      <left/>
      <right style="thin">
        <color auto="1"/>
      </right>
      <top style="dotted">
        <color auto="1"/>
      </top>
      <bottom style="double">
        <color auto="1"/>
      </bottom>
      <diagonal/>
    </border>
    <border>
      <left style="double">
        <color auto="1"/>
      </left>
      <right/>
      <top style="dotted">
        <color auto="1"/>
      </top>
      <bottom style="dotted">
        <color indexed="64"/>
      </bottom>
      <diagonal/>
    </border>
    <border>
      <left/>
      <right style="thin">
        <color indexed="64"/>
      </right>
      <top style="dotted">
        <color auto="1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tted">
        <color auto="1"/>
      </top>
      <bottom/>
      <diagonal/>
    </border>
    <border>
      <left/>
      <right style="thin">
        <color indexed="64"/>
      </right>
      <top style="dotted">
        <color auto="1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auto="1"/>
      </left>
      <right style="double">
        <color auto="1"/>
      </right>
      <top style="dotted">
        <color auto="1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0" borderId="0"/>
  </cellStyleXfs>
  <cellXfs count="248">
    <xf numFmtId="0" fontId="0" fillId="0" borderId="0" xfId="0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2" fillId="0" borderId="52" xfId="1" applyBorder="1" applyAlignment="1" applyProtection="1">
      <alignment vertical="center"/>
      <protection locked="0"/>
    </xf>
    <xf numFmtId="0" fontId="2" fillId="0" borderId="49" xfId="1" applyBorder="1" applyAlignment="1" applyProtection="1">
      <alignment vertical="center"/>
      <protection locked="0"/>
    </xf>
    <xf numFmtId="0" fontId="8" fillId="0" borderId="50" xfId="0" applyFont="1" applyBorder="1" applyAlignment="1" applyProtection="1">
      <alignment horizontal="left" vertical="center" wrapText="1"/>
      <protection locked="0"/>
    </xf>
    <xf numFmtId="166" fontId="8" fillId="0" borderId="50" xfId="0" applyNumberFormat="1" applyFont="1" applyBorder="1" applyAlignment="1" applyProtection="1">
      <alignment horizontal="center" vertical="center"/>
      <protection locked="0"/>
    </xf>
    <xf numFmtId="0" fontId="9" fillId="0" borderId="50" xfId="1" applyFont="1" applyBorder="1" applyAlignment="1" applyProtection="1">
      <alignment horizontal="center" vertical="center" wrapText="1"/>
      <protection locked="0"/>
    </xf>
    <xf numFmtId="0" fontId="9" fillId="0" borderId="51" xfId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10" fillId="4" borderId="18" xfId="1" applyFont="1" applyFill="1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22" fillId="0" borderId="12" xfId="1" applyFont="1" applyBorder="1" applyAlignment="1" applyProtection="1">
      <alignment horizontal="center" vertical="center"/>
      <protection locked="0"/>
    </xf>
    <xf numFmtId="0" fontId="22" fillId="0" borderId="64" xfId="1" applyFont="1" applyBorder="1" applyAlignment="1" applyProtection="1">
      <alignment horizontal="center" vertical="center"/>
      <protection locked="0"/>
    </xf>
    <xf numFmtId="0" fontId="22" fillId="0" borderId="18" xfId="1" applyFont="1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0" fontId="13" fillId="0" borderId="52" xfId="1" applyFont="1" applyBorder="1" applyAlignment="1" applyProtection="1">
      <alignment vertical="center"/>
      <protection locked="0"/>
    </xf>
    <xf numFmtId="0" fontId="14" fillId="5" borderId="19" xfId="1" applyFont="1" applyFill="1" applyBorder="1" applyAlignment="1" applyProtection="1">
      <alignment horizontal="center" vertical="center" wrapText="1"/>
      <protection locked="0"/>
    </xf>
    <xf numFmtId="0" fontId="14" fillId="5" borderId="20" xfId="1" applyFont="1" applyFill="1" applyBorder="1" applyAlignment="1" applyProtection="1">
      <alignment horizontal="center" vertical="center" wrapText="1"/>
      <protection locked="0"/>
    </xf>
    <xf numFmtId="0" fontId="14" fillId="5" borderId="21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4" fillId="5" borderId="24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164" fontId="15" fillId="0" borderId="0" xfId="0" applyNumberFormat="1" applyFont="1" applyAlignment="1" applyProtection="1">
      <alignment vertical="center"/>
      <protection locked="0"/>
    </xf>
    <xf numFmtId="0" fontId="13" fillId="0" borderId="52" xfId="1" applyFont="1" applyBorder="1" applyAlignment="1" applyProtection="1">
      <alignment vertical="center" wrapText="1"/>
      <protection locked="0"/>
    </xf>
    <xf numFmtId="0" fontId="22" fillId="0" borderId="22" xfId="1" applyFont="1" applyBorder="1" applyAlignment="1" applyProtection="1">
      <alignment horizontal="center" vertical="center" wrapText="1"/>
      <protection locked="0"/>
    </xf>
    <xf numFmtId="0" fontId="22" fillId="0" borderId="23" xfId="1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22" fillId="0" borderId="45" xfId="1" applyFont="1" applyBorder="1" applyAlignment="1" applyProtection="1">
      <alignment horizontal="center" vertical="center"/>
      <protection locked="0"/>
    </xf>
    <xf numFmtId="0" fontId="22" fillId="0" borderId="24" xfId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 wrapText="1"/>
      <protection locked="0"/>
    </xf>
    <xf numFmtId="165" fontId="15" fillId="0" borderId="0" xfId="0" applyNumberFormat="1" applyFont="1" applyAlignment="1" applyProtection="1">
      <alignment vertical="center"/>
      <protection locked="0"/>
    </xf>
    <xf numFmtId="0" fontId="15" fillId="0" borderId="52" xfId="0" applyFont="1" applyBorder="1" applyProtection="1">
      <protection locked="0"/>
    </xf>
    <xf numFmtId="0" fontId="14" fillId="5" borderId="67" xfId="1" applyFont="1" applyFill="1" applyBorder="1" applyAlignment="1" applyProtection="1">
      <alignment horizontal="center" vertical="center" wrapText="1"/>
      <protection locked="0"/>
    </xf>
    <xf numFmtId="0" fontId="14" fillId="5" borderId="69" xfId="1" applyFont="1" applyFill="1" applyBorder="1" applyAlignment="1" applyProtection="1">
      <alignment horizontal="center" vertical="center" wrapText="1"/>
      <protection locked="0"/>
    </xf>
    <xf numFmtId="0" fontId="14" fillId="5" borderId="53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2" fillId="0" borderId="52" xfId="1" applyFont="1" applyBorder="1" applyAlignment="1" applyProtection="1">
      <alignment vertical="center"/>
      <protection locked="0"/>
    </xf>
    <xf numFmtId="49" fontId="22" fillId="0" borderId="93" xfId="1" applyNumberFormat="1" applyFont="1" applyBorder="1" applyAlignment="1" applyProtection="1">
      <alignment horizontal="center" vertical="center"/>
      <protection locked="0"/>
    </xf>
    <xf numFmtId="0" fontId="22" fillId="0" borderId="95" xfId="1" applyFont="1" applyBorder="1" applyAlignment="1" applyProtection="1">
      <alignment horizontal="center" vertical="center"/>
      <protection locked="0"/>
    </xf>
    <xf numFmtId="0" fontId="22" fillId="0" borderId="93" xfId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2" fontId="22" fillId="0" borderId="35" xfId="1" applyNumberFormat="1" applyFont="1" applyBorder="1" applyAlignment="1" applyProtection="1">
      <alignment horizontal="center" vertical="center"/>
      <protection locked="0"/>
    </xf>
    <xf numFmtId="2" fontId="22" fillId="0" borderId="36" xfId="1" applyNumberFormat="1" applyFont="1" applyBorder="1" applyAlignment="1" applyProtection="1">
      <alignment horizontal="center" vertical="center"/>
      <protection locked="0"/>
    </xf>
    <xf numFmtId="2" fontId="22" fillId="0" borderId="87" xfId="1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164" fontId="17" fillId="0" borderId="0" xfId="0" applyNumberFormat="1" applyFont="1" applyAlignment="1" applyProtection="1">
      <alignment vertical="center"/>
      <protection locked="0"/>
    </xf>
    <xf numFmtId="165" fontId="17" fillId="0" borderId="0" xfId="0" applyNumberFormat="1" applyFont="1" applyAlignment="1" applyProtection="1">
      <alignment vertical="center"/>
      <protection locked="0"/>
    </xf>
    <xf numFmtId="0" fontId="2" fillId="0" borderId="86" xfId="1" applyBorder="1" applyAlignment="1" applyProtection="1">
      <alignment vertical="center"/>
      <protection locked="0"/>
    </xf>
    <xf numFmtId="49" fontId="18" fillId="5" borderId="71" xfId="1" applyNumberFormat="1" applyFont="1" applyFill="1" applyBorder="1" applyAlignment="1" applyProtection="1">
      <alignment horizontal="center" vertical="center" wrapText="1"/>
      <protection locked="0"/>
    </xf>
    <xf numFmtId="49" fontId="18" fillId="5" borderId="72" xfId="1" applyNumberFormat="1" applyFont="1" applyFill="1" applyBorder="1" applyAlignment="1" applyProtection="1">
      <alignment horizontal="center" vertical="center" wrapText="1"/>
      <protection locked="0"/>
    </xf>
    <xf numFmtId="49" fontId="18" fillId="5" borderId="96" xfId="1" applyNumberFormat="1" applyFont="1" applyFill="1" applyBorder="1" applyAlignment="1" applyProtection="1">
      <alignment horizontal="center" vertical="center" wrapText="1"/>
      <protection locked="0"/>
    </xf>
    <xf numFmtId="164" fontId="24" fillId="0" borderId="28" xfId="1" applyNumberFormat="1" applyFont="1" applyBorder="1" applyAlignment="1" applyProtection="1">
      <alignment horizontal="left" vertical="center"/>
      <protection locked="0"/>
    </xf>
    <xf numFmtId="165" fontId="24" fillId="0" borderId="29" xfId="1" applyNumberFormat="1" applyFont="1" applyBorder="1" applyAlignment="1" applyProtection="1">
      <alignment vertical="center"/>
      <protection locked="0"/>
    </xf>
    <xf numFmtId="165" fontId="24" fillId="0" borderId="30" xfId="1" applyNumberFormat="1" applyFont="1" applyBorder="1" applyAlignment="1" applyProtection="1">
      <alignment vertical="center"/>
      <protection locked="0"/>
    </xf>
    <xf numFmtId="165" fontId="24" fillId="0" borderId="52" xfId="1" applyNumberFormat="1" applyFont="1" applyBorder="1" applyAlignment="1" applyProtection="1">
      <alignment vertical="center"/>
      <protection locked="0"/>
    </xf>
    <xf numFmtId="165" fontId="24" fillId="0" borderId="0" xfId="1" applyNumberFormat="1" applyFont="1" applyAlignment="1" applyProtection="1">
      <alignment vertical="center"/>
      <protection locked="0"/>
    </xf>
    <xf numFmtId="165" fontId="24" fillId="0" borderId="54" xfId="1" applyNumberFormat="1" applyFont="1" applyBorder="1" applyAlignment="1" applyProtection="1">
      <alignment vertical="center"/>
      <protection locked="0"/>
    </xf>
    <xf numFmtId="0" fontId="19" fillId="0" borderId="52" xfId="1" applyFont="1" applyBorder="1" applyAlignment="1" applyProtection="1">
      <alignment vertical="center"/>
      <protection locked="0"/>
    </xf>
    <xf numFmtId="164" fontId="24" fillId="0" borderId="31" xfId="1" applyNumberFormat="1" applyFont="1" applyBorder="1" applyAlignment="1" applyProtection="1">
      <alignment horizontal="left" vertical="center"/>
      <protection locked="0"/>
    </xf>
    <xf numFmtId="165" fontId="24" fillId="0" borderId="32" xfId="1" applyNumberFormat="1" applyFont="1" applyBorder="1" applyAlignment="1" applyProtection="1">
      <alignment vertical="center"/>
      <protection locked="0"/>
    </xf>
    <xf numFmtId="165" fontId="24" fillId="0" borderId="52" xfId="1" applyNumberFormat="1" applyFont="1" applyBorder="1" applyAlignment="1" applyProtection="1">
      <alignment horizontal="center" vertical="center"/>
      <protection locked="0"/>
    </xf>
    <xf numFmtId="170" fontId="0" fillId="0" borderId="0" xfId="0" applyNumberFormat="1" applyAlignment="1" applyProtection="1">
      <alignment vertical="center"/>
      <protection locked="0"/>
    </xf>
    <xf numFmtId="0" fontId="20" fillId="3" borderId="35" xfId="0" applyFont="1" applyFill="1" applyBorder="1" applyAlignment="1" applyProtection="1">
      <alignment vertical="center" wrapText="1"/>
      <protection locked="0"/>
    </xf>
    <xf numFmtId="0" fontId="20" fillId="3" borderId="36" xfId="0" applyFont="1" applyFill="1" applyBorder="1" applyAlignment="1" applyProtection="1">
      <alignment vertical="center" wrapText="1"/>
      <protection locked="0"/>
    </xf>
    <xf numFmtId="0" fontId="19" fillId="0" borderId="88" xfId="1" applyFont="1" applyBorder="1" applyAlignment="1" applyProtection="1">
      <alignment vertical="center"/>
      <protection locked="0"/>
    </xf>
    <xf numFmtId="0" fontId="20" fillId="3" borderId="37" xfId="0" applyFont="1" applyFill="1" applyBorder="1" applyAlignment="1" applyProtection="1">
      <alignment vertical="center" wrapText="1"/>
      <protection locked="0"/>
    </xf>
    <xf numFmtId="0" fontId="20" fillId="3" borderId="38" xfId="0" applyFont="1" applyFill="1" applyBorder="1" applyAlignment="1" applyProtection="1">
      <alignment vertical="center" wrapText="1"/>
      <protection locked="0"/>
    </xf>
    <xf numFmtId="0" fontId="2" fillId="0" borderId="4" xfId="1" applyBorder="1" applyAlignment="1" applyProtection="1">
      <alignment vertical="center"/>
      <protection locked="0"/>
    </xf>
    <xf numFmtId="168" fontId="32" fillId="8" borderId="78" xfId="1" applyNumberFormat="1" applyFont="1" applyFill="1" applyBorder="1" applyAlignment="1" applyProtection="1">
      <alignment horizontal="center" vertical="center"/>
      <protection locked="0"/>
    </xf>
    <xf numFmtId="0" fontId="32" fillId="8" borderId="78" xfId="1" applyFont="1" applyFill="1" applyBorder="1" applyAlignment="1" applyProtection="1">
      <alignment horizontal="center" vertical="center"/>
      <protection locked="0"/>
    </xf>
    <xf numFmtId="168" fontId="32" fillId="8" borderId="79" xfId="1" applyNumberFormat="1" applyFont="1" applyFill="1" applyBorder="1" applyAlignment="1" applyProtection="1">
      <alignment horizontal="center" vertical="center"/>
      <protection locked="0"/>
    </xf>
    <xf numFmtId="168" fontId="32" fillId="9" borderId="78" xfId="1" applyNumberFormat="1" applyFont="1" applyFill="1" applyBorder="1" applyAlignment="1" applyProtection="1">
      <alignment horizontal="center" vertical="center"/>
      <protection locked="0"/>
    </xf>
    <xf numFmtId="0" fontId="32" fillId="9" borderId="78" xfId="1" applyFont="1" applyFill="1" applyBorder="1" applyAlignment="1" applyProtection="1">
      <alignment horizontal="center" vertical="center"/>
      <protection locked="0"/>
    </xf>
    <xf numFmtId="168" fontId="32" fillId="9" borderId="79" xfId="1" applyNumberFormat="1" applyFont="1" applyFill="1" applyBorder="1" applyAlignment="1" applyProtection="1">
      <alignment horizontal="center" vertical="center"/>
      <protection locked="0"/>
    </xf>
    <xf numFmtId="165" fontId="33" fillId="7" borderId="75" xfId="1" applyNumberFormat="1" applyFont="1" applyFill="1" applyBorder="1" applyAlignment="1" applyProtection="1">
      <alignment horizontal="center" vertical="center"/>
      <protection locked="0"/>
    </xf>
    <xf numFmtId="2" fontId="22" fillId="10" borderId="32" xfId="1" applyNumberFormat="1" applyFont="1" applyFill="1" applyBorder="1" applyAlignment="1" applyProtection="1">
      <alignment horizontal="center" vertical="center"/>
      <protection locked="0"/>
    </xf>
    <xf numFmtId="2" fontId="23" fillId="10" borderId="75" xfId="1" applyNumberFormat="1" applyFont="1" applyFill="1" applyBorder="1" applyAlignment="1" applyProtection="1">
      <alignment horizontal="center" vertical="center"/>
      <protection locked="0"/>
    </xf>
    <xf numFmtId="165" fontId="33" fillId="7" borderId="32" xfId="1" applyNumberFormat="1" applyFont="1" applyFill="1" applyBorder="1" applyAlignment="1" applyProtection="1">
      <alignment horizontal="center" vertical="center"/>
      <protection locked="0"/>
    </xf>
    <xf numFmtId="2" fontId="23" fillId="10" borderId="32" xfId="1" applyNumberFormat="1" applyFont="1" applyFill="1" applyBorder="1" applyAlignment="1" applyProtection="1">
      <alignment horizontal="center" vertical="center"/>
      <protection locked="0"/>
    </xf>
    <xf numFmtId="2" fontId="22" fillId="10" borderId="16" xfId="1" applyNumberFormat="1" applyFont="1" applyFill="1" applyBorder="1" applyAlignment="1" applyProtection="1">
      <alignment horizontal="center" vertical="center"/>
      <protection locked="0"/>
    </xf>
    <xf numFmtId="0" fontId="23" fillId="10" borderId="80" xfId="1" applyFont="1" applyFill="1" applyBorder="1" applyAlignment="1" applyProtection="1">
      <alignment horizontal="center" vertical="center"/>
      <protection locked="0"/>
    </xf>
    <xf numFmtId="0" fontId="23" fillId="10" borderId="81" xfId="1" applyFont="1" applyFill="1" applyBorder="1" applyAlignment="1" applyProtection="1">
      <alignment horizontal="center" vertical="center"/>
      <protection locked="0"/>
    </xf>
    <xf numFmtId="2" fontId="22" fillId="10" borderId="82" xfId="1" applyNumberFormat="1" applyFont="1" applyFill="1" applyBorder="1" applyAlignment="1" applyProtection="1">
      <alignment horizontal="center" vertical="center"/>
      <protection locked="0"/>
    </xf>
    <xf numFmtId="2" fontId="23" fillId="10" borderId="82" xfId="1" applyNumberFormat="1" applyFont="1" applyFill="1" applyBorder="1" applyAlignment="1" applyProtection="1">
      <alignment horizontal="center" vertical="center"/>
      <protection locked="0"/>
    </xf>
    <xf numFmtId="2" fontId="22" fillId="10" borderId="83" xfId="1" applyNumberFormat="1" applyFont="1" applyFill="1" applyBorder="1" applyAlignment="1" applyProtection="1">
      <alignment horizontal="center" vertical="center"/>
      <protection locked="0"/>
    </xf>
    <xf numFmtId="165" fontId="33" fillId="7" borderId="39" xfId="1" applyNumberFormat="1" applyFont="1" applyFill="1" applyBorder="1" applyAlignment="1" applyProtection="1">
      <alignment horizontal="center" vertical="center"/>
      <protection locked="0"/>
    </xf>
    <xf numFmtId="2" fontId="22" fillId="10" borderId="39" xfId="1" applyNumberFormat="1" applyFont="1" applyFill="1" applyBorder="1" applyAlignment="1" applyProtection="1">
      <alignment horizontal="center" vertical="center"/>
      <protection locked="0"/>
    </xf>
    <xf numFmtId="2" fontId="23" fillId="10" borderId="39" xfId="1" applyNumberFormat="1" applyFont="1" applyFill="1" applyBorder="1" applyAlignment="1" applyProtection="1">
      <alignment horizontal="center" vertical="center"/>
      <protection locked="0"/>
    </xf>
    <xf numFmtId="2" fontId="22" fillId="10" borderId="25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2" fillId="0" borderId="54" xfId="1" applyBorder="1" applyAlignment="1" applyProtection="1">
      <alignment vertical="center"/>
      <protection locked="0"/>
    </xf>
    <xf numFmtId="0" fontId="14" fillId="5" borderId="68" xfId="1" applyFont="1" applyFill="1" applyBorder="1" applyAlignment="1">
      <alignment horizontal="center" vertical="center" wrapText="1"/>
    </xf>
    <xf numFmtId="2" fontId="18" fillId="5" borderId="72" xfId="1" applyNumberFormat="1" applyFont="1" applyFill="1" applyBorder="1" applyAlignment="1">
      <alignment horizontal="center" vertical="center" wrapText="1"/>
    </xf>
    <xf numFmtId="165" fontId="33" fillId="7" borderId="75" xfId="1" applyNumberFormat="1" applyFont="1" applyFill="1" applyBorder="1" applyAlignment="1">
      <alignment horizontal="center" vertical="center"/>
    </xf>
    <xf numFmtId="2" fontId="22" fillId="10" borderId="32" xfId="1" applyNumberFormat="1" applyFont="1" applyFill="1" applyBorder="1" applyAlignment="1">
      <alignment horizontal="center" vertical="center"/>
    </xf>
    <xf numFmtId="2" fontId="22" fillId="10" borderId="17" xfId="1" applyNumberFormat="1" applyFont="1" applyFill="1" applyBorder="1" applyAlignment="1">
      <alignment horizontal="center" vertical="center"/>
    </xf>
    <xf numFmtId="165" fontId="33" fillId="7" borderId="32" xfId="1" applyNumberFormat="1" applyFont="1" applyFill="1" applyBorder="1" applyAlignment="1">
      <alignment horizontal="center" vertical="center"/>
    </xf>
    <xf numFmtId="2" fontId="35" fillId="7" borderId="16" xfId="1" applyNumberFormat="1" applyFont="1" applyFill="1" applyBorder="1" applyAlignment="1">
      <alignment horizontal="center" vertical="center"/>
    </xf>
    <xf numFmtId="165" fontId="22" fillId="10" borderId="32" xfId="1" applyNumberFormat="1" applyFont="1" applyFill="1" applyBorder="1" applyAlignment="1">
      <alignment horizontal="center" vertical="center"/>
    </xf>
    <xf numFmtId="165" fontId="33" fillId="7" borderId="39" xfId="1" applyNumberFormat="1" applyFont="1" applyFill="1" applyBorder="1" applyAlignment="1">
      <alignment horizontal="center" vertical="center"/>
    </xf>
    <xf numFmtId="2" fontId="35" fillId="7" borderId="25" xfId="1" applyNumberFormat="1" applyFont="1" applyFill="1" applyBorder="1" applyAlignment="1">
      <alignment horizontal="center" vertical="center"/>
    </xf>
    <xf numFmtId="164" fontId="22" fillId="11" borderId="18" xfId="1" applyNumberFormat="1" applyFont="1" applyFill="1" applyBorder="1" applyAlignment="1">
      <alignment horizontal="center" vertical="center"/>
    </xf>
    <xf numFmtId="164" fontId="22" fillId="11" borderId="19" xfId="1" applyNumberFormat="1" applyFont="1" applyFill="1" applyBorder="1" applyAlignment="1">
      <alignment horizontal="center" vertical="center" wrapText="1"/>
    </xf>
    <xf numFmtId="164" fontId="22" fillId="11" borderId="22" xfId="1" applyNumberFormat="1" applyFont="1" applyFill="1" applyBorder="1" applyAlignment="1">
      <alignment horizontal="center" vertical="center" wrapText="1"/>
    </xf>
    <xf numFmtId="0" fontId="22" fillId="11" borderId="22" xfId="1" applyFont="1" applyFill="1" applyBorder="1" applyAlignment="1">
      <alignment horizontal="center" vertical="center" wrapText="1"/>
    </xf>
    <xf numFmtId="165" fontId="23" fillId="11" borderId="93" xfId="1" applyNumberFormat="1" applyFont="1" applyFill="1" applyBorder="1" applyAlignment="1">
      <alignment horizontal="center" vertical="center"/>
    </xf>
    <xf numFmtId="165" fontId="22" fillId="11" borderId="93" xfId="1" applyNumberFormat="1" applyFont="1" applyFill="1" applyBorder="1" applyAlignment="1">
      <alignment horizontal="center" vertical="center"/>
    </xf>
    <xf numFmtId="165" fontId="22" fillId="11" borderId="94" xfId="1" applyNumberFormat="1" applyFont="1" applyFill="1" applyBorder="1" applyAlignment="1">
      <alignment horizontal="center" vertical="center"/>
    </xf>
    <xf numFmtId="165" fontId="24" fillId="11" borderId="29" xfId="1" applyNumberFormat="1" applyFont="1" applyFill="1" applyBorder="1" applyAlignment="1">
      <alignment vertical="center"/>
    </xf>
    <xf numFmtId="165" fontId="24" fillId="11" borderId="32" xfId="1" applyNumberFormat="1" applyFont="1" applyFill="1" applyBorder="1" applyAlignment="1">
      <alignment vertical="center"/>
    </xf>
    <xf numFmtId="165" fontId="24" fillId="11" borderId="33" xfId="1" applyNumberFormat="1" applyFont="1" applyFill="1" applyBorder="1" applyAlignment="1">
      <alignment vertical="center"/>
    </xf>
    <xf numFmtId="164" fontId="24" fillId="11" borderId="31" xfId="1" applyNumberFormat="1" applyFont="1" applyFill="1" applyBorder="1" applyAlignment="1">
      <alignment horizontal="left" vertical="center"/>
    </xf>
    <xf numFmtId="164" fontId="24" fillId="11" borderId="26" xfId="1" applyNumberFormat="1" applyFont="1" applyFill="1" applyBorder="1" applyAlignment="1">
      <alignment horizontal="left" vertical="center"/>
    </xf>
    <xf numFmtId="165" fontId="24" fillId="11" borderId="27" xfId="1" applyNumberFormat="1" applyFont="1" applyFill="1" applyBorder="1" applyAlignment="1">
      <alignment vertical="center"/>
    </xf>
    <xf numFmtId="165" fontId="24" fillId="11" borderId="34" xfId="1" applyNumberFormat="1" applyFont="1" applyFill="1" applyBorder="1" applyAlignment="1">
      <alignment vertical="center"/>
    </xf>
    <xf numFmtId="0" fontId="27" fillId="0" borderId="92" xfId="0" applyFont="1" applyBorder="1" applyAlignment="1" applyProtection="1">
      <alignment horizontal="center" vertical="center" wrapText="1"/>
      <protection locked="0"/>
    </xf>
    <xf numFmtId="0" fontId="27" fillId="0" borderId="8" xfId="0" applyFont="1" applyBorder="1" applyAlignment="1" applyProtection="1">
      <alignment horizontal="center" vertical="center" wrapText="1"/>
      <protection locked="0"/>
    </xf>
    <xf numFmtId="0" fontId="27" fillId="0" borderId="55" xfId="0" applyFont="1" applyBorder="1" applyAlignment="1" applyProtection="1">
      <alignment horizontal="center" vertical="center" wrapText="1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0" borderId="90" xfId="0" applyFont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 vertical="center"/>
      <protection locked="0"/>
    </xf>
    <xf numFmtId="0" fontId="27" fillId="0" borderId="91" xfId="0" applyFont="1" applyBorder="1" applyAlignment="1" applyProtection="1">
      <alignment horizontal="center" vertic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7" xfId="0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70" xfId="0" applyFont="1" applyBorder="1" applyAlignment="1" applyProtection="1">
      <alignment horizontal="left" vertical="top"/>
      <protection locked="0"/>
    </xf>
    <xf numFmtId="0" fontId="21" fillId="0" borderId="88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5" fillId="0" borderId="89" xfId="1" applyFont="1" applyBorder="1" applyAlignment="1" applyProtection="1">
      <alignment horizontal="center" vertical="center"/>
      <protection locked="0"/>
    </xf>
    <xf numFmtId="0" fontId="25" fillId="0" borderId="12" xfId="1" applyFont="1" applyBorder="1" applyAlignment="1" applyProtection="1">
      <alignment horizontal="center" vertical="center"/>
      <protection locked="0"/>
    </xf>
    <xf numFmtId="0" fontId="23" fillId="0" borderId="40" xfId="1" applyFont="1" applyBorder="1" applyAlignment="1" applyProtection="1">
      <alignment horizontal="center" vertical="center"/>
      <protection locked="0"/>
    </xf>
    <xf numFmtId="0" fontId="23" fillId="0" borderId="8" xfId="1" applyFont="1" applyBorder="1" applyAlignment="1" applyProtection="1">
      <alignment horizontal="center" vertical="center"/>
      <protection locked="0"/>
    </xf>
    <xf numFmtId="0" fontId="23" fillId="0" borderId="55" xfId="1" applyFont="1" applyBorder="1" applyAlignment="1" applyProtection="1">
      <alignment horizontal="center" vertical="center"/>
      <protection locked="0"/>
    </xf>
    <xf numFmtId="0" fontId="23" fillId="7" borderId="41" xfId="1" applyFont="1" applyFill="1" applyBorder="1" applyAlignment="1" applyProtection="1">
      <alignment horizontal="center" vertical="center"/>
      <protection locked="0"/>
    </xf>
    <xf numFmtId="0" fontId="23" fillId="7" borderId="42" xfId="1" applyFont="1" applyFill="1" applyBorder="1" applyAlignment="1" applyProtection="1">
      <alignment horizontal="center" vertical="center"/>
      <protection locked="0"/>
    </xf>
    <xf numFmtId="0" fontId="23" fillId="7" borderId="43" xfId="1" applyFont="1" applyFill="1" applyBorder="1" applyAlignment="1" applyProtection="1">
      <alignment horizontal="center" vertical="center"/>
      <protection locked="0"/>
    </xf>
    <xf numFmtId="0" fontId="23" fillId="7" borderId="44" xfId="1" applyFont="1" applyFill="1" applyBorder="1" applyAlignment="1" applyProtection="1">
      <alignment horizontal="center" vertical="center"/>
      <protection locked="0"/>
    </xf>
    <xf numFmtId="0" fontId="23" fillId="10" borderId="41" xfId="1" applyFont="1" applyFill="1" applyBorder="1" applyAlignment="1" applyProtection="1">
      <alignment horizontal="center" vertical="center"/>
      <protection locked="0"/>
    </xf>
    <xf numFmtId="0" fontId="23" fillId="10" borderId="42" xfId="1" applyFont="1" applyFill="1" applyBorder="1" applyAlignment="1" applyProtection="1">
      <alignment horizontal="center" vertical="center"/>
      <protection locked="0"/>
    </xf>
    <xf numFmtId="0" fontId="26" fillId="0" borderId="12" xfId="1" applyFont="1" applyBorder="1" applyAlignment="1" applyProtection="1">
      <alignment horizontal="center" vertical="center"/>
      <protection locked="0"/>
    </xf>
    <xf numFmtId="0" fontId="26" fillId="0" borderId="65" xfId="1" applyFont="1" applyBorder="1" applyAlignment="1" applyProtection="1">
      <alignment horizontal="center" vertical="center"/>
      <protection locked="0"/>
    </xf>
    <xf numFmtId="0" fontId="23" fillId="10" borderId="43" xfId="1" applyFont="1" applyFill="1" applyBorder="1" applyAlignment="1" applyProtection="1">
      <alignment horizontal="center" vertical="center"/>
      <protection locked="0"/>
    </xf>
    <xf numFmtId="0" fontId="23" fillId="10" borderId="44" xfId="1" applyFont="1" applyFill="1" applyBorder="1" applyAlignment="1" applyProtection="1">
      <alignment horizontal="center" vertical="center"/>
      <protection locked="0"/>
    </xf>
    <xf numFmtId="173" fontId="20" fillId="3" borderId="97" xfId="0" applyNumberFormat="1" applyFont="1" applyFill="1" applyBorder="1" applyAlignment="1">
      <alignment horizontal="center" vertical="center" wrapText="1"/>
    </xf>
    <xf numFmtId="173" fontId="20" fillId="3" borderId="98" xfId="0" applyNumberFormat="1" applyFont="1" applyFill="1" applyBorder="1" applyAlignment="1" applyProtection="1">
      <alignment horizontal="center" vertical="center" wrapText="1"/>
      <protection locked="0"/>
    </xf>
    <xf numFmtId="168" fontId="20" fillId="0" borderId="52" xfId="0" applyNumberFormat="1" applyFont="1" applyBorder="1" applyAlignment="1" applyProtection="1">
      <alignment horizontal="left" vertical="center" wrapText="1"/>
      <protection locked="0"/>
    </xf>
    <xf numFmtId="168" fontId="20" fillId="0" borderId="90" xfId="0" applyNumberFormat="1" applyFont="1" applyBorder="1" applyAlignment="1" applyProtection="1">
      <alignment horizontal="left" vertical="center" wrapText="1"/>
      <protection locked="0"/>
    </xf>
    <xf numFmtId="0" fontId="23" fillId="10" borderId="43" xfId="1" applyFont="1" applyFill="1" applyBorder="1" applyAlignment="1">
      <alignment horizontal="center" vertical="center"/>
    </xf>
    <xf numFmtId="171" fontId="20" fillId="3" borderId="36" xfId="0" applyNumberFormat="1" applyFont="1" applyFill="1" applyBorder="1" applyAlignment="1">
      <alignment horizontal="center" vertical="center" wrapText="1"/>
    </xf>
    <xf numFmtId="171" fontId="20" fillId="3" borderId="38" xfId="0" applyNumberFormat="1" applyFont="1" applyFill="1" applyBorder="1" applyAlignment="1" applyProtection="1">
      <alignment horizontal="center" vertical="center" wrapText="1"/>
      <protection locked="0"/>
    </xf>
    <xf numFmtId="0" fontId="22" fillId="11" borderId="62" xfId="1" applyFont="1" applyFill="1" applyBorder="1" applyAlignment="1">
      <alignment horizontal="center" vertical="center" wrapText="1"/>
    </xf>
    <xf numFmtId="0" fontId="22" fillId="0" borderId="66" xfId="1" applyFont="1" applyBorder="1" applyAlignment="1" applyProtection="1">
      <alignment horizontal="center" vertical="center" wrapText="1"/>
      <protection locked="0"/>
    </xf>
    <xf numFmtId="0" fontId="14" fillId="5" borderId="62" xfId="1" applyFont="1" applyFill="1" applyBorder="1" applyAlignment="1" applyProtection="1">
      <alignment horizontal="center" vertical="center" wrapText="1"/>
      <protection locked="0"/>
    </xf>
    <xf numFmtId="0" fontId="14" fillId="5" borderId="66" xfId="1" applyFont="1" applyFill="1" applyBorder="1" applyAlignment="1" applyProtection="1">
      <alignment horizontal="center" vertical="center" wrapText="1"/>
      <protection locked="0"/>
    </xf>
    <xf numFmtId="0" fontId="23" fillId="7" borderId="73" xfId="1" applyFont="1" applyFill="1" applyBorder="1" applyAlignment="1" applyProtection="1">
      <alignment horizontal="center" vertical="center"/>
      <protection locked="0"/>
    </xf>
    <xf numFmtId="0" fontId="23" fillId="7" borderId="74" xfId="1" applyFont="1" applyFill="1" applyBorder="1" applyAlignment="1" applyProtection="1">
      <alignment horizontal="center" vertical="center"/>
      <protection locked="0"/>
    </xf>
    <xf numFmtId="0" fontId="32" fillId="8" borderId="76" xfId="1" applyFont="1" applyFill="1" applyBorder="1" applyAlignment="1" applyProtection="1">
      <alignment horizontal="center" vertical="center"/>
      <protection locked="0"/>
    </xf>
    <xf numFmtId="0" fontId="32" fillId="8" borderId="77" xfId="1" applyFont="1" applyFill="1" applyBorder="1" applyAlignment="1" applyProtection="1">
      <alignment horizontal="center" vertical="center"/>
      <protection locked="0"/>
    </xf>
    <xf numFmtId="0" fontId="32" fillId="9" borderId="76" xfId="1" applyFont="1" applyFill="1" applyBorder="1" applyAlignment="1" applyProtection="1">
      <alignment horizontal="center" vertical="center"/>
      <protection locked="0"/>
    </xf>
    <xf numFmtId="0" fontId="32" fillId="9" borderId="77" xfId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Alignment="1">
      <alignment horizontal="center" vertical="center"/>
    </xf>
    <xf numFmtId="0" fontId="23" fillId="10" borderId="74" xfId="1" applyFont="1" applyFill="1" applyBorder="1" applyAlignment="1" applyProtection="1">
      <alignment horizontal="center" vertical="center"/>
      <protection locked="0"/>
    </xf>
    <xf numFmtId="168" fontId="20" fillId="0" borderId="0" xfId="0" applyNumberFormat="1" applyFont="1" applyAlignment="1" applyProtection="1">
      <alignment horizontal="left" vertical="center" wrapText="1"/>
      <protection locked="0"/>
    </xf>
    <xf numFmtId="168" fontId="20" fillId="0" borderId="8" xfId="0" applyNumberFormat="1" applyFont="1" applyBorder="1" applyAlignment="1" applyProtection="1">
      <alignment horizontal="left" vertical="center" wrapText="1"/>
      <protection locked="0"/>
    </xf>
    <xf numFmtId="167" fontId="20" fillId="0" borderId="54" xfId="0" applyNumberFormat="1" applyFont="1" applyBorder="1" applyAlignment="1" applyProtection="1">
      <alignment horizontal="left" vertical="center" wrapText="1"/>
      <protection locked="0"/>
    </xf>
    <xf numFmtId="167" fontId="20" fillId="0" borderId="55" xfId="0" applyNumberFormat="1" applyFont="1" applyBorder="1" applyAlignment="1" applyProtection="1">
      <alignment horizontal="left" vertical="center" wrapText="1"/>
      <protection locked="0"/>
    </xf>
    <xf numFmtId="169" fontId="20" fillId="0" borderId="0" xfId="0" applyNumberFormat="1" applyFont="1" applyAlignment="1" applyProtection="1">
      <alignment horizontal="center" vertical="center" wrapText="1"/>
      <protection locked="0"/>
    </xf>
    <xf numFmtId="169" fontId="20" fillId="0" borderId="8" xfId="0" applyNumberFormat="1" applyFont="1" applyBorder="1" applyAlignment="1" applyProtection="1">
      <alignment horizontal="center" vertical="center" wrapText="1"/>
      <protection locked="0"/>
    </xf>
    <xf numFmtId="49" fontId="18" fillId="3" borderId="76" xfId="1" applyNumberFormat="1" applyFont="1" applyFill="1" applyBorder="1" applyAlignment="1" applyProtection="1">
      <alignment horizontal="center" vertical="center" wrapText="1"/>
      <protection locked="0"/>
    </xf>
    <xf numFmtId="49" fontId="18" fillId="3" borderId="99" xfId="1" applyNumberFormat="1" applyFont="1" applyFill="1" applyBorder="1" applyAlignment="1" applyProtection="1">
      <alignment horizontal="center" vertical="center" wrapText="1"/>
      <protection locked="0"/>
    </xf>
    <xf numFmtId="49" fontId="18" fillId="3" borderId="100" xfId="1" applyNumberFormat="1" applyFont="1" applyFill="1" applyBorder="1" applyAlignment="1" applyProtection="1">
      <alignment horizontal="center" vertical="center" wrapText="1"/>
      <protection locked="0"/>
    </xf>
    <xf numFmtId="165" fontId="24" fillId="11" borderId="1" xfId="1" applyNumberFormat="1" applyFont="1" applyFill="1" applyBorder="1" applyAlignment="1">
      <alignment horizontal="center" vertical="center"/>
    </xf>
    <xf numFmtId="165" fontId="24" fillId="0" borderId="9" xfId="1" applyNumberFormat="1" applyFont="1" applyBorder="1" applyAlignment="1" applyProtection="1">
      <alignment horizontal="center" vertical="center"/>
      <protection locked="0"/>
    </xf>
    <xf numFmtId="165" fontId="34" fillId="11" borderId="2" xfId="1" applyNumberFormat="1" applyFont="1" applyFill="1" applyBorder="1" applyAlignment="1">
      <alignment horizontal="center" vertical="center"/>
    </xf>
    <xf numFmtId="165" fontId="34" fillId="0" borderId="4" xfId="1" applyNumberFormat="1" applyFont="1" applyBorder="1" applyAlignment="1" applyProtection="1">
      <alignment horizontal="center" vertical="center"/>
      <protection locked="0"/>
    </xf>
    <xf numFmtId="165" fontId="34" fillId="0" borderId="3" xfId="1" applyNumberFormat="1" applyFont="1" applyBorder="1" applyAlignment="1" applyProtection="1">
      <alignment horizontal="center" vertical="center"/>
      <protection locked="0"/>
    </xf>
    <xf numFmtId="165" fontId="34" fillId="0" borderId="10" xfId="1" applyNumberFormat="1" applyFont="1" applyBorder="1" applyAlignment="1" applyProtection="1">
      <alignment horizontal="center" vertical="center"/>
      <protection locked="0"/>
    </xf>
    <xf numFmtId="165" fontId="34" fillId="0" borderId="12" xfId="1" applyNumberFormat="1" applyFont="1" applyBorder="1" applyAlignment="1" applyProtection="1">
      <alignment horizontal="center" vertical="center"/>
      <protection locked="0"/>
    </xf>
    <xf numFmtId="165" fontId="34" fillId="0" borderId="11" xfId="1" applyNumberFormat="1" applyFont="1" applyBorder="1" applyAlignment="1" applyProtection="1">
      <alignment horizontal="center" vertical="center"/>
      <protection locked="0"/>
    </xf>
    <xf numFmtId="172" fontId="20" fillId="3" borderId="1" xfId="0" applyNumberFormat="1" applyFont="1" applyFill="1" applyBorder="1" applyAlignment="1">
      <alignment horizontal="center" vertical="center" wrapText="1"/>
    </xf>
    <xf numFmtId="172" fontId="20" fillId="3" borderId="5" xfId="0" applyNumberFormat="1" applyFont="1" applyFill="1" applyBorder="1" applyAlignment="1" applyProtection="1">
      <alignment horizontal="center" vertical="center" wrapText="1"/>
      <protection locked="0"/>
    </xf>
    <xf numFmtId="167" fontId="20" fillId="3" borderId="36" xfId="0" applyNumberFormat="1" applyFont="1" applyFill="1" applyBorder="1" applyAlignment="1" applyProtection="1">
      <alignment horizontal="left" vertical="center" wrapText="1"/>
      <protection locked="0"/>
    </xf>
    <xf numFmtId="167" fontId="20" fillId="3" borderId="38" xfId="0" applyNumberFormat="1" applyFont="1" applyFill="1" applyBorder="1" applyAlignment="1" applyProtection="1">
      <alignment horizontal="left" vertical="center" wrapText="1"/>
      <protection locked="0"/>
    </xf>
    <xf numFmtId="165" fontId="20" fillId="3" borderId="36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38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right" vertical="center" wrapText="1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14" xfId="1" applyFont="1" applyFill="1" applyBorder="1" applyAlignment="1" applyProtection="1">
      <alignment horizontal="center" vertical="center"/>
      <protection locked="0"/>
    </xf>
    <xf numFmtId="0" fontId="7" fillId="2" borderId="15" xfId="1" applyFont="1" applyFill="1" applyBorder="1" applyAlignment="1" applyProtection="1">
      <alignment horizontal="center" vertical="center"/>
      <protection locked="0"/>
    </xf>
    <xf numFmtId="0" fontId="7" fillId="2" borderId="66" xfId="1" applyFont="1" applyFill="1" applyBorder="1" applyAlignment="1" applyProtection="1">
      <alignment horizontal="center" vertical="center"/>
      <protection locked="0"/>
    </xf>
    <xf numFmtId="0" fontId="30" fillId="0" borderId="14" xfId="1" applyFont="1" applyBorder="1" applyAlignment="1" applyProtection="1">
      <alignment horizontal="center" vertical="center" wrapText="1"/>
      <protection locked="0"/>
    </xf>
    <xf numFmtId="0" fontId="30" fillId="0" borderId="15" xfId="1" applyFont="1" applyBorder="1" applyAlignment="1" applyProtection="1">
      <alignment horizontal="center" vertical="center" wrapText="1"/>
      <protection locked="0"/>
    </xf>
    <xf numFmtId="0" fontId="30" fillId="0" borderId="66" xfId="1" applyFont="1" applyBorder="1" applyAlignment="1" applyProtection="1">
      <alignment horizontal="center" vertical="center" wrapText="1"/>
      <protection locked="0"/>
    </xf>
    <xf numFmtId="0" fontId="30" fillId="0" borderId="2" xfId="1" applyFont="1" applyBorder="1" applyAlignment="1" applyProtection="1">
      <alignment horizontal="center" vertical="center" wrapText="1"/>
      <protection locked="0"/>
    </xf>
    <xf numFmtId="0" fontId="30" fillId="0" borderId="4" xfId="1" applyFont="1" applyBorder="1" applyAlignment="1" applyProtection="1">
      <alignment horizontal="center" vertical="center" wrapText="1"/>
      <protection locked="0"/>
    </xf>
    <xf numFmtId="0" fontId="30" fillId="0" borderId="70" xfId="1" applyFont="1" applyBorder="1" applyAlignment="1" applyProtection="1">
      <alignment horizontal="center" vertical="center" wrapText="1"/>
      <protection locked="0"/>
    </xf>
    <xf numFmtId="0" fontId="5" fillId="0" borderId="46" xfId="0" applyFont="1" applyBorder="1" applyAlignment="1" applyProtection="1">
      <alignment horizontal="right" vertical="center" wrapText="1"/>
      <protection locked="0"/>
    </xf>
    <xf numFmtId="0" fontId="5" fillId="0" borderId="47" xfId="0" applyFont="1" applyBorder="1" applyAlignment="1" applyProtection="1">
      <alignment horizontal="right" vertical="center" wrapText="1"/>
      <protection locked="0"/>
    </xf>
    <xf numFmtId="166" fontId="5" fillId="3" borderId="46" xfId="0" applyNumberFormat="1" applyFont="1" applyFill="1" applyBorder="1" applyAlignment="1">
      <alignment horizontal="center" vertical="center"/>
    </xf>
    <xf numFmtId="166" fontId="5" fillId="3" borderId="48" xfId="0" applyNumberFormat="1" applyFont="1" applyFill="1" applyBorder="1" applyAlignment="1" applyProtection="1">
      <alignment horizontal="center" vertical="center"/>
      <protection locked="0"/>
    </xf>
    <xf numFmtId="166" fontId="5" fillId="3" borderId="47" xfId="0" applyNumberFormat="1" applyFont="1" applyFill="1" applyBorder="1" applyAlignment="1" applyProtection="1">
      <alignment horizontal="center" vertical="center"/>
      <protection locked="0"/>
    </xf>
    <xf numFmtId="17" fontId="4" fillId="0" borderId="10" xfId="1" applyNumberFormat="1" applyFont="1" applyBorder="1" applyAlignment="1" applyProtection="1">
      <alignment horizontal="center" vertical="center"/>
      <protection locked="0"/>
    </xf>
    <xf numFmtId="17" fontId="4" fillId="0" borderId="65" xfId="1" applyNumberFormat="1" applyFont="1" applyBorder="1" applyAlignment="1" applyProtection="1">
      <alignment horizontal="center" vertical="center"/>
      <protection locked="0"/>
    </xf>
    <xf numFmtId="4" fontId="3" fillId="0" borderId="84" xfId="1" applyNumberFormat="1" applyFont="1" applyBorder="1" applyAlignment="1" applyProtection="1">
      <alignment horizontal="center" vertical="center" wrapText="1"/>
      <protection locked="0"/>
    </xf>
    <xf numFmtId="4" fontId="3" fillId="0" borderId="50" xfId="1" applyNumberFormat="1" applyFont="1" applyBorder="1" applyAlignment="1" applyProtection="1">
      <alignment horizontal="center" vertical="center" wrapText="1"/>
      <protection locked="0"/>
    </xf>
    <xf numFmtId="4" fontId="3" fillId="0" borderId="85" xfId="1" applyNumberFormat="1" applyFont="1" applyBorder="1" applyAlignment="1" applyProtection="1">
      <alignment horizontal="center" vertical="center" wrapText="1"/>
      <protection locked="0"/>
    </xf>
    <xf numFmtId="4" fontId="3" fillId="0" borderId="6" xfId="1" applyNumberFormat="1" applyFont="1" applyBorder="1" applyAlignment="1" applyProtection="1">
      <alignment horizontal="center" vertical="center" wrapText="1"/>
      <protection locked="0"/>
    </xf>
    <xf numFmtId="4" fontId="3" fillId="0" borderId="0" xfId="1" applyNumberFormat="1" applyFont="1" applyAlignment="1" applyProtection="1">
      <alignment horizontal="center" vertical="center" wrapText="1"/>
      <protection locked="0"/>
    </xf>
    <xf numFmtId="4" fontId="3" fillId="0" borderId="7" xfId="1" applyNumberFormat="1" applyFont="1" applyBorder="1" applyAlignment="1" applyProtection="1">
      <alignment horizontal="center" vertical="center" wrapText="1"/>
      <protection locked="0"/>
    </xf>
    <xf numFmtId="4" fontId="3" fillId="0" borderId="10" xfId="1" applyNumberFormat="1" applyFont="1" applyBorder="1" applyAlignment="1" applyProtection="1">
      <alignment horizontal="center" vertical="center" wrapText="1"/>
      <protection locked="0"/>
    </xf>
    <xf numFmtId="4" fontId="3" fillId="0" borderId="12" xfId="1" applyNumberFormat="1" applyFont="1" applyBorder="1" applyAlignment="1" applyProtection="1">
      <alignment horizontal="center" vertical="center" wrapText="1"/>
      <protection locked="0"/>
    </xf>
    <xf numFmtId="4" fontId="3" fillId="0" borderId="11" xfId="1" applyNumberFormat="1" applyFont="1" applyBorder="1" applyAlignment="1" applyProtection="1">
      <alignment horizontal="center" vertical="center" wrapText="1"/>
      <protection locked="0"/>
    </xf>
    <xf numFmtId="4" fontId="4" fillId="0" borderId="84" xfId="1" applyNumberFormat="1" applyFont="1" applyBorder="1" applyAlignment="1" applyProtection="1">
      <alignment horizontal="center" vertical="center"/>
      <protection locked="0"/>
    </xf>
    <xf numFmtId="4" fontId="4" fillId="0" borderId="51" xfId="1" applyNumberFormat="1" applyFont="1" applyBorder="1" applyAlignment="1" applyProtection="1">
      <alignment horizontal="center" vertical="center"/>
      <protection locked="0"/>
    </xf>
    <xf numFmtId="4" fontId="4" fillId="0" borderId="6" xfId="1" applyNumberFormat="1" applyFont="1" applyBorder="1" applyAlignment="1" applyProtection="1">
      <alignment horizontal="center" vertical="center"/>
      <protection locked="0"/>
    </xf>
    <xf numFmtId="4" fontId="4" fillId="0" borderId="54" xfId="1" applyNumberFormat="1" applyFont="1" applyBorder="1" applyAlignment="1" applyProtection="1">
      <alignment horizontal="center" vertical="center"/>
      <protection locked="0"/>
    </xf>
    <xf numFmtId="4" fontId="2" fillId="0" borderId="49" xfId="1" applyNumberFormat="1" applyBorder="1" applyAlignment="1" applyProtection="1">
      <alignment horizontal="center" vertical="center"/>
      <protection locked="0"/>
    </xf>
    <xf numFmtId="4" fontId="2" fillId="0" borderId="50" xfId="1" applyNumberFormat="1" applyBorder="1" applyAlignment="1" applyProtection="1">
      <alignment horizontal="center" vertical="center"/>
      <protection locked="0"/>
    </xf>
    <xf numFmtId="4" fontId="2" fillId="0" borderId="85" xfId="1" applyNumberFormat="1" applyBorder="1" applyAlignment="1" applyProtection="1">
      <alignment horizontal="center" vertical="center"/>
      <protection locked="0"/>
    </xf>
    <xf numFmtId="4" fontId="2" fillId="0" borderId="52" xfId="1" applyNumberFormat="1" applyBorder="1" applyAlignment="1" applyProtection="1">
      <alignment horizontal="center" vertical="center"/>
      <protection locked="0"/>
    </xf>
    <xf numFmtId="4" fontId="2" fillId="0" borderId="0" xfId="1" applyNumberFormat="1" applyAlignment="1" applyProtection="1">
      <alignment horizontal="center" vertical="center"/>
      <protection locked="0"/>
    </xf>
    <xf numFmtId="4" fontId="2" fillId="0" borderId="7" xfId="1" applyNumberFormat="1" applyBorder="1" applyAlignment="1" applyProtection="1">
      <alignment horizontal="center" vertical="center"/>
      <protection locked="0"/>
    </xf>
    <xf numFmtId="4" fontId="2" fillId="0" borderId="89" xfId="1" applyNumberFormat="1" applyBorder="1" applyAlignment="1" applyProtection="1">
      <alignment horizontal="center" vertical="center"/>
      <protection locked="0"/>
    </xf>
    <xf numFmtId="4" fontId="2" fillId="0" borderId="12" xfId="1" applyNumberFormat="1" applyBorder="1" applyAlignment="1" applyProtection="1">
      <alignment horizontal="center" vertical="center"/>
      <protection locked="0"/>
    </xf>
    <xf numFmtId="4" fontId="2" fillId="0" borderId="11" xfId="1" applyNumberForma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7043AF43-D6A5-4971-8AB2-D982458DB7E7}"/>
  </cellStyles>
  <dxfs count="28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EA42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Perfil Longitudinal de Tubería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Terreno Natural</c:v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xVal>
            <c:numRef>
              <c:f>Tbl_Auxiliares!$B$5:$B$28</c:f>
              <c:numCache>
                <c:formatCode>\K0\+000.00</c:formatCode>
                <c:ptCount val="24"/>
                <c:pt idx="0">
                  <c:v>11305</c:v>
                </c:pt>
                <c:pt idx="1">
                  <c:v>11307</c:v>
                </c:pt>
                <c:pt idx="2">
                  <c:v>11312</c:v>
                </c:pt>
                <c:pt idx="3">
                  <c:v>11317</c:v>
                </c:pt>
                <c:pt idx="4">
                  <c:v>11322</c:v>
                </c:pt>
                <c:pt idx="5">
                  <c:v>11327</c:v>
                </c:pt>
                <c:pt idx="6">
                  <c:v>11332</c:v>
                </c:pt>
                <c:pt idx="7">
                  <c:v>11337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Tbl_Auxiliares!$C$5:$C$28</c:f>
              <c:numCache>
                <c:formatCode>0.000</c:formatCode>
                <c:ptCount val="24"/>
                <c:pt idx="0">
                  <c:v>1264.646</c:v>
                </c:pt>
                <c:pt idx="1">
                  <c:v>1264.7159999999999</c:v>
                </c:pt>
                <c:pt idx="2">
                  <c:v>1264.838</c:v>
                </c:pt>
                <c:pt idx="3">
                  <c:v>1264.9269999999999</c:v>
                </c:pt>
                <c:pt idx="4">
                  <c:v>1264.9929999999999</c:v>
                </c:pt>
                <c:pt idx="5">
                  <c:v>1265.096</c:v>
                </c:pt>
                <c:pt idx="6">
                  <c:v>1265.173</c:v>
                </c:pt>
                <c:pt idx="7">
                  <c:v>1265.2439999999999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207-99C0-CE76CDB41D3E}"/>
            </c:ext>
          </c:extLst>
        </c:ser>
        <c:ser>
          <c:idx val="1"/>
          <c:order val="1"/>
          <c:tx>
            <c:v>Terminado Filtro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Tbl_Auxiliares!$B$5:$B$28</c:f>
              <c:numCache>
                <c:formatCode>\K0\+000.00</c:formatCode>
                <c:ptCount val="24"/>
                <c:pt idx="0">
                  <c:v>11305</c:v>
                </c:pt>
                <c:pt idx="1">
                  <c:v>11307</c:v>
                </c:pt>
                <c:pt idx="2">
                  <c:v>11312</c:v>
                </c:pt>
                <c:pt idx="3">
                  <c:v>11317</c:v>
                </c:pt>
                <c:pt idx="4">
                  <c:v>11322</c:v>
                </c:pt>
                <c:pt idx="5">
                  <c:v>11327</c:v>
                </c:pt>
                <c:pt idx="6">
                  <c:v>11332</c:v>
                </c:pt>
                <c:pt idx="7">
                  <c:v>11337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Tbl_Auxiliares!$D$5:$D$28</c:f>
              <c:numCache>
                <c:formatCode>0.000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C-4207-99C0-CE76CDB41D3E}"/>
            </c:ext>
          </c:extLst>
        </c:ser>
        <c:ser>
          <c:idx val="2"/>
          <c:order val="2"/>
          <c:tx>
            <c:v>Cota Fondo Excavación</c:v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Tbl_Auxiliares!$B$5:$B$28</c:f>
              <c:numCache>
                <c:formatCode>\K0\+000.00</c:formatCode>
                <c:ptCount val="24"/>
                <c:pt idx="0">
                  <c:v>11305</c:v>
                </c:pt>
                <c:pt idx="1">
                  <c:v>11307</c:v>
                </c:pt>
                <c:pt idx="2">
                  <c:v>11312</c:v>
                </c:pt>
                <c:pt idx="3">
                  <c:v>11317</c:v>
                </c:pt>
                <c:pt idx="4">
                  <c:v>11322</c:v>
                </c:pt>
                <c:pt idx="5">
                  <c:v>11327</c:v>
                </c:pt>
                <c:pt idx="6">
                  <c:v>11332</c:v>
                </c:pt>
                <c:pt idx="7">
                  <c:v>11337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Tbl_Auxiliares!$E$5:$E$28</c:f>
              <c:numCache>
                <c:formatCode>0.000</c:formatCode>
                <c:ptCount val="24"/>
                <c:pt idx="0">
                  <c:v>1263.7919999999999</c:v>
                </c:pt>
                <c:pt idx="1">
                  <c:v>1263.9690000000001</c:v>
                </c:pt>
                <c:pt idx="2">
                  <c:v>1264.1289999999999</c:v>
                </c:pt>
                <c:pt idx="3">
                  <c:v>1264.19</c:v>
                </c:pt>
                <c:pt idx="4">
                  <c:v>1264.2460000000001</c:v>
                </c:pt>
                <c:pt idx="5">
                  <c:v>1264.4259999999999</c:v>
                </c:pt>
                <c:pt idx="6">
                  <c:v>1264.4179999999999</c:v>
                </c:pt>
                <c:pt idx="7">
                  <c:v>1264.68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FC-4207-99C0-CE76CDB41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671696"/>
        <c:axId val="971739120"/>
      </c:scatterChart>
      <c:valAx>
        <c:axId val="96167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 tramo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\K0\+00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1739120"/>
        <c:crosses val="autoZero"/>
        <c:crossBetween val="midCat"/>
      </c:valAx>
      <c:valAx>
        <c:axId val="97173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cota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6167169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8100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18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6" name="FormaSeccion">
          <a:extLst>
            <a:ext uri="{FF2B5EF4-FFF2-40B4-BE49-F238E27FC236}">
              <a16:creationId xmlns:a16="http://schemas.microsoft.com/office/drawing/2014/main" id="{A31D7371-3FB0-836E-6C60-BE34D2390045}"/>
            </a:ext>
          </a:extLst>
        </xdr:cNvPr>
        <xdr:cNvSpPr/>
      </xdr:nvSpPr>
      <xdr:spPr>
        <a:xfrm>
          <a:off x="10896600" y="5529943"/>
          <a:ext cx="3015343" cy="45066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1</xdr:colOff>
      <xdr:row>51</xdr:row>
      <xdr:rowOff>0</xdr:rowOff>
    </xdr:from>
    <xdr:to>
      <xdr:col>14</xdr:col>
      <xdr:colOff>0</xdr:colOff>
      <xdr:row>63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7A03C5-2715-493F-BBDD-633F14D74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0</xdr:colOff>
      <xdr:row>18</xdr:row>
      <xdr:rowOff>250370</xdr:rowOff>
    </xdr:from>
    <xdr:to>
      <xdr:col>13</xdr:col>
      <xdr:colOff>950322</xdr:colOff>
      <xdr:row>35</xdr:row>
      <xdr:rowOff>92945</xdr:rowOff>
    </xdr:to>
    <xdr:pic>
      <xdr:nvPicPr>
        <xdr:cNvPr id="5" name="SeccionFil" hidden="1">
          <a:extLst>
            <a:ext uri="{FF2B5EF4-FFF2-40B4-BE49-F238E27FC236}">
              <a16:creationId xmlns:a16="http://schemas.microsoft.com/office/drawing/2014/main" id="{CEE5A861-0ED9-B2B1-C9B8-797855499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t="2218"/>
        <a:stretch>
          <a:fillRect/>
        </a:stretch>
      </xdr:blipFill>
      <xdr:spPr>
        <a:xfrm>
          <a:off x="10896600" y="5780313"/>
          <a:ext cx="3007722" cy="4098889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</xdr:row>
      <xdr:rowOff>42218</xdr:rowOff>
    </xdr:from>
    <xdr:to>
      <xdr:col>13</xdr:col>
      <xdr:colOff>950322</xdr:colOff>
      <xdr:row>33</xdr:row>
      <xdr:rowOff>208151</xdr:rowOff>
    </xdr:to>
    <xdr:pic>
      <xdr:nvPicPr>
        <xdr:cNvPr id="4" name="SeccionTub">
          <a:extLst>
            <a:ext uri="{FF2B5EF4-FFF2-40B4-BE49-F238E27FC236}">
              <a16:creationId xmlns:a16="http://schemas.microsoft.com/office/drawing/2014/main" id="{C3D706B4-DE20-66E5-B2DD-C19C6483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896600" y="6072904"/>
          <a:ext cx="3007722" cy="3420762"/>
        </a:xfrm>
        <a:prstGeom prst="rect">
          <a:avLst/>
        </a:prstGeom>
      </xdr:spPr>
    </xdr:pic>
    <xdr:clientData/>
  </xdr:twoCellAnchor>
  <xdr:twoCellAnchor>
    <xdr:from>
      <xdr:col>11</xdr:col>
      <xdr:colOff>60471</xdr:colOff>
      <xdr:row>22</xdr:row>
      <xdr:rowOff>163420</xdr:rowOff>
    </xdr:from>
    <xdr:to>
      <xdr:col>11</xdr:col>
      <xdr:colOff>718458</xdr:colOff>
      <xdr:row>23</xdr:row>
      <xdr:rowOff>141514</xdr:rowOff>
    </xdr:to>
    <xdr:sp macro="" textlink="">
      <xdr:nvSpPr>
        <xdr:cNvPr id="12" name="Flecha: a la derecha 11">
          <a:extLst>
            <a:ext uri="{FF2B5EF4-FFF2-40B4-BE49-F238E27FC236}">
              <a16:creationId xmlns:a16="http://schemas.microsoft.com/office/drawing/2014/main" id="{23C5AF71-E224-42BD-8FA1-3741910BA2A9}"/>
            </a:ext>
          </a:extLst>
        </xdr:cNvPr>
        <xdr:cNvSpPr/>
      </xdr:nvSpPr>
      <xdr:spPr>
        <a:xfrm>
          <a:off x="11283642" y="6694849"/>
          <a:ext cx="657987" cy="22846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65315</xdr:colOff>
      <xdr:row>29</xdr:row>
      <xdr:rowOff>185189</xdr:rowOff>
    </xdr:from>
    <xdr:to>
      <xdr:col>11</xdr:col>
      <xdr:colOff>729343</xdr:colOff>
      <xdr:row>30</xdr:row>
      <xdr:rowOff>152400</xdr:rowOff>
    </xdr:to>
    <xdr:sp macro="" textlink="">
      <xdr:nvSpPr>
        <xdr:cNvPr id="13" name="Flecha: a la derecha 12">
          <a:extLst>
            <a:ext uri="{FF2B5EF4-FFF2-40B4-BE49-F238E27FC236}">
              <a16:creationId xmlns:a16="http://schemas.microsoft.com/office/drawing/2014/main" id="{089048DD-76F0-417E-8F69-A5BEFBEDC20D}"/>
            </a:ext>
          </a:extLst>
        </xdr:cNvPr>
        <xdr:cNvSpPr/>
      </xdr:nvSpPr>
      <xdr:spPr>
        <a:xfrm>
          <a:off x="11288486" y="8251503"/>
          <a:ext cx="664028" cy="21758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334648</xdr:colOff>
      <xdr:row>19</xdr:row>
      <xdr:rowOff>30760</xdr:rowOff>
    </xdr:from>
    <xdr:to>
      <xdr:col>12</xdr:col>
      <xdr:colOff>533400</xdr:colOff>
      <xdr:row>21</xdr:row>
      <xdr:rowOff>174173</xdr:rowOff>
    </xdr:to>
    <xdr:sp macro="" textlink="">
      <xdr:nvSpPr>
        <xdr:cNvPr id="14" name="Flecha: a la derecha 13">
          <a:extLst>
            <a:ext uri="{FF2B5EF4-FFF2-40B4-BE49-F238E27FC236}">
              <a16:creationId xmlns:a16="http://schemas.microsoft.com/office/drawing/2014/main" id="{6A472832-3A36-47E0-86A7-D965FBAF281C}"/>
            </a:ext>
          </a:extLst>
        </xdr:cNvPr>
        <xdr:cNvSpPr/>
      </xdr:nvSpPr>
      <xdr:spPr>
        <a:xfrm rot="5400000">
          <a:off x="12140660" y="6033776"/>
          <a:ext cx="644156" cy="198752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C44DE3-E64D-4F67-B92A-25A9A50C09AB}" name="Base_Tub" displayName="Base_Tub" ref="A7:V8" insertRow="1" totalsRowShown="0" headerRowDxfId="25" headerRowBorderDxfId="24" tableBorderDxfId="23" totalsRowBorderDxfId="22">
  <autoFilter ref="A7:V8" xr:uid="{E2C44DE3-E64D-4F67-B92A-25A9A50C09AB}"/>
  <tableColumns count="22">
    <tableColumn id="1" xr3:uid="{83E943DC-A3FD-4D5E-8729-DE36A99C8D94}" name="TIPO ELEMENTO INICIAL" dataDxfId="21"/>
    <tableColumn id="2" xr3:uid="{12607B62-5D90-4621-827D-A989565552B6}" name="NORTE ELEMENTO INICIAL" dataDxfId="20"/>
    <tableColumn id="3" xr3:uid="{1A67FD8B-0565-4A29-A091-284FA04431E9}" name="ESTE ELEMENTO INICIAL" dataDxfId="19"/>
    <tableColumn id="4" xr3:uid="{14DDE7B7-E144-4BD4-9F4D-2910F813FC80}" name="T. N. ELEMENTO INICIAL" dataDxfId="18"/>
    <tableColumn id="5" xr3:uid="{680775D0-3760-4539-9CDB-5296F6BC54F0}" name="RASANTE ELEMENTO INICIAL" dataDxfId="17"/>
    <tableColumn id="6" xr3:uid="{2A52DE66-EC7C-4772-9247-8C7D439D3A69}" name="CLAVE INICIAL" dataDxfId="16"/>
    <tableColumn id="7" xr3:uid="{EABAFBC7-94E9-413A-97BE-910652B7314B}" name="TIPO ELEMENTO FINAL" dataDxfId="15"/>
    <tableColumn id="8" xr3:uid="{E7FDBF1D-EA81-40AF-A4F2-9E7BBAE4961D}" name="NORTE ELEMENTO FINAL" dataDxfId="14"/>
    <tableColumn id="9" xr3:uid="{C94DC68E-9EC6-419C-9803-079EB7551FC1}" name="ESTE ELEMENTO FINAL" dataDxfId="13"/>
    <tableColumn id="10" xr3:uid="{10D1E473-B4EF-49C9-8DC4-6EE3CE62DFA9}" name="T.N. ELEMENTO FINAL" dataDxfId="12"/>
    <tableColumn id="11" xr3:uid="{904206F6-968D-44BB-A7A6-1D75838B3D98}" name="RASANTE ELEMENTO FINAL" dataDxfId="11"/>
    <tableColumn id="12" xr3:uid="{94DA1987-5513-45F5-BACD-C61FEC66BDCF}" name="CLAVE FINAL" dataDxfId="10"/>
    <tableColumn id="13" xr3:uid="{BB007A3A-F657-47A0-8359-2826195188BF}" name="LONGITUD UTIL TRAMO" dataDxfId="9"/>
    <tableColumn id="14" xr3:uid="{C2492E2B-1A3D-45BD-9A99-0B736DEEEABA}" name="MATERIAL" dataDxfId="8"/>
    <tableColumn id="15" xr3:uid="{0680B23A-97F5-4E21-8F88-C20EEA015997}" name="TIPO DE RED" dataDxfId="7"/>
    <tableColumn id="16" xr3:uid="{2F5B6642-6EA0-48EA-A06F-4D09825ACD14}" name="θ TUBERÍA" dataDxfId="6"/>
    <tableColumn id="17" xr3:uid="{42F1D45F-680F-4E54-8A12-60E5383B7367}" name="Volumen Excavacion" dataDxfId="5"/>
    <tableColumn id="18" xr3:uid="{2A65545B-53BA-429F-A767-99E351D39D52}" name="Volumen Triturado" dataDxfId="4"/>
    <tableColumn id="19" xr3:uid="{2D5AB738-ED8F-4018-AB9B-DDF905EDE9E5}" name="Volumen Mejoramiento" dataDxfId="3"/>
    <tableColumn id="20" xr3:uid="{1939D0A1-D484-4C5D-A603-7061BF05C080}" name="Relleno B-200" dataDxfId="2"/>
    <tableColumn id="21" xr3:uid="{A0F907B2-6229-412B-8836-AB43221446C1}" name="Relleno Material Reciclado" dataDxfId="1"/>
    <tableColumn id="22" xr3:uid="{9304728D-34DF-4BFD-8C32-B1CCEA863F90}" name="Area Entibado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05CF52-BF5F-4D90-9EEA-2341F0E13BF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415ee5a-2a52-4422-8920-3eef5736d03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C3A8-5442-4E6C-916A-951C0D294D5F}">
  <sheetPr codeName="Tablas"/>
  <dimension ref="B1:G28"/>
  <sheetViews>
    <sheetView showGridLines="0" zoomScale="85" zoomScaleNormal="85" workbookViewId="0">
      <selection activeCell="F10" sqref="F10"/>
    </sheetView>
  </sheetViews>
  <sheetFormatPr baseColWidth="10" defaultColWidth="11.5546875" defaultRowHeight="14.4" x14ac:dyDescent="0.3"/>
  <cols>
    <col min="1" max="16384" width="11.5546875" style="7"/>
  </cols>
  <sheetData>
    <row r="1" spans="2:7" x14ac:dyDescent="0.3">
      <c r="G1"/>
    </row>
    <row r="2" spans="2:7" x14ac:dyDescent="0.3">
      <c r="G2"/>
    </row>
    <row r="3" spans="2:7" x14ac:dyDescent="0.3">
      <c r="B3" s="10" t="s">
        <v>61</v>
      </c>
    </row>
    <row r="4" spans="2:7" x14ac:dyDescent="0.3">
      <c r="B4" s="11" t="s">
        <v>0</v>
      </c>
      <c r="C4" s="11" t="str">
        <f>planilla!$C$16</f>
        <v>Terreno Natural</v>
      </c>
      <c r="D4" s="11" t="str">
        <f>planilla!$E$16</f>
        <v>Terminado Filtro</v>
      </c>
      <c r="E4" s="11" t="str">
        <f>planilla!$F$16</f>
        <v>Cota Fondo Excavación</v>
      </c>
    </row>
    <row r="5" spans="2:7" s="8" customFormat="1" x14ac:dyDescent="0.3">
      <c r="B5" s="12">
        <f>IF(planilla!$B17="",NA(),planilla!$B17)</f>
        <v>11305</v>
      </c>
      <c r="C5" s="9">
        <f>IF(OR(planilla!$B17="",planilla!C17=""),NA(),planilla!C17)</f>
        <v>1264.646</v>
      </c>
      <c r="D5" s="9" t="e">
        <f>IF(OR(planilla!$B17="",planilla!E17=""),NA(),planilla!E17)</f>
        <v>#N/A</v>
      </c>
      <c r="E5" s="9">
        <f>IF(OR(planilla!$B17="",planilla!F17=""),NA(),planilla!F17)</f>
        <v>1263.7919999999999</v>
      </c>
    </row>
    <row r="6" spans="2:7" s="8" customFormat="1" x14ac:dyDescent="0.3">
      <c r="B6" s="12">
        <f>IF(planilla!$B18="",NA(),planilla!$B18)</f>
        <v>11307</v>
      </c>
      <c r="C6" s="9">
        <f>IF(OR(planilla!$B18="",planilla!C18=""),NA(),planilla!C18)</f>
        <v>1264.7159999999999</v>
      </c>
      <c r="D6" s="9" t="e">
        <f>IF(OR(planilla!$B18="",planilla!E18=""),NA(),planilla!E18)</f>
        <v>#N/A</v>
      </c>
      <c r="E6" s="9">
        <f>IF(OR(planilla!$B18="",planilla!F18=""),NA(),planilla!F18)</f>
        <v>1263.9690000000001</v>
      </c>
    </row>
    <row r="7" spans="2:7" s="8" customFormat="1" x14ac:dyDescent="0.3">
      <c r="B7" s="12">
        <f>IF(planilla!$B19="",NA(),planilla!$B19)</f>
        <v>11312</v>
      </c>
      <c r="C7" s="9">
        <f>IF(OR(planilla!$B19="",planilla!C19=""),NA(),planilla!C19)</f>
        <v>1264.838</v>
      </c>
      <c r="D7" s="9" t="e">
        <f>IF(OR(planilla!$B19="",planilla!E19=""),NA(),planilla!E19)</f>
        <v>#N/A</v>
      </c>
      <c r="E7" s="9">
        <f>IF(OR(planilla!$B19="",planilla!F19=""),NA(),planilla!F19)</f>
        <v>1264.1289999999999</v>
      </c>
    </row>
    <row r="8" spans="2:7" s="8" customFormat="1" x14ac:dyDescent="0.3">
      <c r="B8" s="12">
        <f>IF(planilla!$B20="",NA(),planilla!$B20)</f>
        <v>11317</v>
      </c>
      <c r="C8" s="9">
        <f>IF(OR(planilla!$B20="",planilla!C20=""),NA(),planilla!C20)</f>
        <v>1264.9269999999999</v>
      </c>
      <c r="D8" s="9" t="e">
        <f>IF(OR(planilla!$B20="",planilla!E20=""),NA(),planilla!E20)</f>
        <v>#N/A</v>
      </c>
      <c r="E8" s="9">
        <f>IF(OR(planilla!$B20="",planilla!F20=""),NA(),planilla!F20)</f>
        <v>1264.19</v>
      </c>
    </row>
    <row r="9" spans="2:7" x14ac:dyDescent="0.3">
      <c r="B9" s="12">
        <f>IF(planilla!$B21="",NA(),planilla!$B21)</f>
        <v>11322</v>
      </c>
      <c r="C9" s="9">
        <f>IF(OR(planilla!$B21="",planilla!C21=""),NA(),planilla!C21)</f>
        <v>1264.9929999999999</v>
      </c>
      <c r="D9" s="9" t="e">
        <f>IF(OR(planilla!$B21="",planilla!E21=""),NA(),planilla!E21)</f>
        <v>#N/A</v>
      </c>
      <c r="E9" s="9">
        <f>IF(OR(planilla!$B21="",planilla!F21=""),NA(),planilla!F21)</f>
        <v>1264.2460000000001</v>
      </c>
    </row>
    <row r="10" spans="2:7" x14ac:dyDescent="0.3">
      <c r="B10" s="12">
        <f>IF(planilla!$B22="",NA(),planilla!$B22)</f>
        <v>11327</v>
      </c>
      <c r="C10" s="9">
        <f>IF(OR(planilla!$B22="",planilla!C22=""),NA(),planilla!C22)</f>
        <v>1265.096</v>
      </c>
      <c r="D10" s="9" t="e">
        <f>IF(OR(planilla!$B22="",planilla!E22=""),NA(),planilla!E22)</f>
        <v>#N/A</v>
      </c>
      <c r="E10" s="9">
        <f>IF(OR(planilla!$B22="",planilla!F22=""),NA(),planilla!F22)</f>
        <v>1264.4259999999999</v>
      </c>
    </row>
    <row r="11" spans="2:7" x14ac:dyDescent="0.3">
      <c r="B11" s="12">
        <f>IF(planilla!$B23="",NA(),planilla!$B23)</f>
        <v>11332</v>
      </c>
      <c r="C11" s="9">
        <f>IF(OR(planilla!$B23="",planilla!C23=""),NA(),planilla!C23)</f>
        <v>1265.173</v>
      </c>
      <c r="D11" s="9" t="e">
        <f>IF(OR(planilla!$B23="",planilla!E23=""),NA(),planilla!E23)</f>
        <v>#N/A</v>
      </c>
      <c r="E11" s="9">
        <f>IF(OR(planilla!$B23="",planilla!F23=""),NA(),planilla!F23)</f>
        <v>1264.4179999999999</v>
      </c>
    </row>
    <row r="12" spans="2:7" x14ac:dyDescent="0.3">
      <c r="B12" s="12">
        <f>IF(planilla!$B24="",NA(),planilla!$B24)</f>
        <v>11337</v>
      </c>
      <c r="C12" s="9">
        <f>IF(OR(planilla!$B24="",planilla!C24=""),NA(),planilla!C24)</f>
        <v>1265.2439999999999</v>
      </c>
      <c r="D12" s="9" t="e">
        <f>IF(OR(planilla!$B24="",planilla!E24=""),NA(),planilla!E24)</f>
        <v>#N/A</v>
      </c>
      <c r="E12" s="9">
        <f>IF(OR(planilla!$B24="",planilla!F24=""),NA(),planilla!F24)</f>
        <v>1264.68</v>
      </c>
    </row>
    <row r="13" spans="2:7" x14ac:dyDescent="0.3">
      <c r="B13" s="12" t="e">
        <f>IF(planilla!$B25="",NA(),planilla!$B25)</f>
        <v>#N/A</v>
      </c>
      <c r="C13" s="9" t="e">
        <f>IF(OR(planilla!$B25="",planilla!C25=""),NA(),planilla!C25)</f>
        <v>#N/A</v>
      </c>
      <c r="D13" s="9" t="e">
        <f>IF(OR(planilla!$B25="",planilla!E25=""),NA(),planilla!E25)</f>
        <v>#N/A</v>
      </c>
      <c r="E13" s="9" t="e">
        <f>IF(OR(planilla!$B25="",planilla!F25=""),NA(),planilla!F25)</f>
        <v>#N/A</v>
      </c>
    </row>
    <row r="14" spans="2:7" x14ac:dyDescent="0.3">
      <c r="B14" s="12" t="e">
        <f>IF(planilla!$B26="",NA(),planilla!$B26)</f>
        <v>#N/A</v>
      </c>
      <c r="C14" s="9" t="e">
        <f>IF(OR(planilla!$B26="",planilla!C26=""),NA(),planilla!C26)</f>
        <v>#N/A</v>
      </c>
      <c r="D14" s="9" t="e">
        <f>IF(OR(planilla!$B26="",planilla!E26=""),NA(),planilla!E26)</f>
        <v>#N/A</v>
      </c>
      <c r="E14" s="9" t="e">
        <f>IF(OR(planilla!$B26="",planilla!F26=""),NA(),planilla!F26)</f>
        <v>#N/A</v>
      </c>
    </row>
    <row r="15" spans="2:7" x14ac:dyDescent="0.3">
      <c r="B15" s="12" t="e">
        <f>IF(planilla!$B27="",NA(),planilla!$B27)</f>
        <v>#N/A</v>
      </c>
      <c r="C15" s="9" t="e">
        <f>IF(OR(planilla!$B27="",planilla!C27=""),NA(),planilla!C27)</f>
        <v>#N/A</v>
      </c>
      <c r="D15" s="9" t="e">
        <f>IF(OR(planilla!$B27="",planilla!E27=""),NA(),planilla!E27)</f>
        <v>#N/A</v>
      </c>
      <c r="E15" s="9" t="e">
        <f>IF(OR(planilla!$B27="",planilla!F27=""),NA(),planilla!F27)</f>
        <v>#N/A</v>
      </c>
    </row>
    <row r="16" spans="2:7" x14ac:dyDescent="0.3">
      <c r="B16" s="12" t="e">
        <f>IF(planilla!$B28="",NA(),planilla!$B28)</f>
        <v>#N/A</v>
      </c>
      <c r="C16" s="9" t="e">
        <f>IF(OR(planilla!$B28="",planilla!C28=""),NA(),planilla!C28)</f>
        <v>#N/A</v>
      </c>
      <c r="D16" s="9" t="e">
        <f>IF(OR(planilla!$B28="",planilla!E28=""),NA(),planilla!E28)</f>
        <v>#N/A</v>
      </c>
      <c r="E16" s="9" t="e">
        <f>IF(OR(planilla!$B28="",planilla!F28=""),NA(),planilla!F28)</f>
        <v>#N/A</v>
      </c>
    </row>
    <row r="17" spans="2:5" x14ac:dyDescent="0.3">
      <c r="B17" s="12" t="e">
        <f>IF(planilla!$B29="",NA(),planilla!$B29)</f>
        <v>#N/A</v>
      </c>
      <c r="C17" s="9" t="e">
        <f>IF(OR(planilla!$B29="",planilla!C29=""),NA(),planilla!C29)</f>
        <v>#N/A</v>
      </c>
      <c r="D17" s="9" t="e">
        <f>IF(OR(planilla!$B29="",planilla!E29=""),NA(),planilla!E29)</f>
        <v>#N/A</v>
      </c>
      <c r="E17" s="9" t="e">
        <f>IF(OR(planilla!$B29="",planilla!F29=""),NA(),planilla!F29)</f>
        <v>#N/A</v>
      </c>
    </row>
    <row r="18" spans="2:5" x14ac:dyDescent="0.3">
      <c r="B18" s="12" t="e">
        <f>IF(planilla!$B30="",NA(),planilla!$B30)</f>
        <v>#N/A</v>
      </c>
      <c r="C18" s="9" t="e">
        <f>IF(OR(planilla!$B30="",planilla!C30=""),NA(),planilla!C30)</f>
        <v>#N/A</v>
      </c>
      <c r="D18" s="9" t="e">
        <f>IF(OR(planilla!$B30="",planilla!E30=""),NA(),planilla!E30)</f>
        <v>#N/A</v>
      </c>
      <c r="E18" s="9" t="e">
        <f>IF(OR(planilla!$B30="",planilla!F30=""),NA(),planilla!F30)</f>
        <v>#N/A</v>
      </c>
    </row>
    <row r="19" spans="2:5" x14ac:dyDescent="0.3">
      <c r="B19" s="12" t="e">
        <f>IF(planilla!$B31="",NA(),planilla!$B31)</f>
        <v>#N/A</v>
      </c>
      <c r="C19" s="9" t="e">
        <f>IF(OR(planilla!$B31="",planilla!C31=""),NA(),planilla!C31)</f>
        <v>#N/A</v>
      </c>
      <c r="D19" s="9" t="e">
        <f>IF(OR(planilla!$B31="",planilla!E31=""),NA(),planilla!E31)</f>
        <v>#N/A</v>
      </c>
      <c r="E19" s="9" t="e">
        <f>IF(OR(planilla!$B31="",planilla!F31=""),NA(),planilla!F31)</f>
        <v>#N/A</v>
      </c>
    </row>
    <row r="20" spans="2:5" x14ac:dyDescent="0.3">
      <c r="B20" s="12" t="e">
        <f>IF(planilla!$B32="",NA(),planilla!$B32)</f>
        <v>#N/A</v>
      </c>
      <c r="C20" s="9" t="e">
        <f>IF(OR(planilla!$B32="",planilla!C32=""),NA(),planilla!C32)</f>
        <v>#N/A</v>
      </c>
      <c r="D20" s="9" t="e">
        <f>IF(OR(planilla!$B32="",planilla!E32=""),NA(),planilla!E32)</f>
        <v>#N/A</v>
      </c>
      <c r="E20" s="9" t="e">
        <f>IF(OR(planilla!$B32="",planilla!F32=""),NA(),planilla!F32)</f>
        <v>#N/A</v>
      </c>
    </row>
    <row r="21" spans="2:5" x14ac:dyDescent="0.3">
      <c r="B21" s="12" t="e">
        <f>IF(planilla!$B33="",NA(),planilla!$B33)</f>
        <v>#N/A</v>
      </c>
      <c r="C21" s="9" t="e">
        <f>IF(OR(planilla!$B33="",planilla!C33=""),NA(),planilla!C33)</f>
        <v>#N/A</v>
      </c>
      <c r="D21" s="9" t="e">
        <f>IF(OR(planilla!$B33="",planilla!E33=""),NA(),planilla!E33)</f>
        <v>#N/A</v>
      </c>
      <c r="E21" s="9" t="e">
        <f>IF(OR(planilla!$B33="",planilla!F33=""),NA(),planilla!F33)</f>
        <v>#N/A</v>
      </c>
    </row>
    <row r="22" spans="2:5" x14ac:dyDescent="0.3">
      <c r="B22" s="12" t="e">
        <f>IF(planilla!$B34="",NA(),planilla!$B34)</f>
        <v>#N/A</v>
      </c>
      <c r="C22" s="9" t="e">
        <f>IF(OR(planilla!$B34="",planilla!C34=""),NA(),planilla!C34)</f>
        <v>#N/A</v>
      </c>
      <c r="D22" s="9" t="e">
        <f>IF(OR(planilla!$B34="",planilla!E34=""),NA(),planilla!E34)</f>
        <v>#N/A</v>
      </c>
      <c r="E22" s="9" t="e">
        <f>IF(OR(planilla!$B34="",planilla!F34=""),NA(),planilla!F34)</f>
        <v>#N/A</v>
      </c>
    </row>
    <row r="23" spans="2:5" x14ac:dyDescent="0.3">
      <c r="B23" s="12" t="e">
        <f>IF(planilla!$B35="",NA(),planilla!$B35)</f>
        <v>#N/A</v>
      </c>
      <c r="C23" s="9" t="e">
        <f>IF(OR(planilla!$B35="",planilla!C35=""),NA(),planilla!C35)</f>
        <v>#N/A</v>
      </c>
      <c r="D23" s="9" t="e">
        <f>IF(OR(planilla!$B35="",planilla!E35=""),NA(),planilla!E35)</f>
        <v>#N/A</v>
      </c>
      <c r="E23" s="9" t="e">
        <f>IF(OR(planilla!$B35="",planilla!F35=""),NA(),planilla!F35)</f>
        <v>#N/A</v>
      </c>
    </row>
    <row r="24" spans="2:5" x14ac:dyDescent="0.3">
      <c r="B24" s="12" t="e">
        <f>IF(planilla!$B36="",NA(),planilla!$B36)</f>
        <v>#N/A</v>
      </c>
      <c r="C24" s="9" t="e">
        <f>IF(OR(planilla!$B36="",planilla!C36=""),NA(),planilla!C36)</f>
        <v>#N/A</v>
      </c>
      <c r="D24" s="9" t="e">
        <f>IF(OR(planilla!$B36="",planilla!E36=""),NA(),planilla!E36)</f>
        <v>#N/A</v>
      </c>
      <c r="E24" s="9" t="e">
        <f>IF(OR(planilla!$B36="",planilla!F36=""),NA(),planilla!F36)</f>
        <v>#N/A</v>
      </c>
    </row>
    <row r="25" spans="2:5" x14ac:dyDescent="0.3">
      <c r="B25" s="12" t="e">
        <f>IF(planilla!$B37="",NA(),planilla!$B37)</f>
        <v>#N/A</v>
      </c>
      <c r="C25" s="9" t="e">
        <f>IF(OR(planilla!$B37="",planilla!C37=""),NA(),planilla!C37)</f>
        <v>#N/A</v>
      </c>
      <c r="D25" s="9" t="e">
        <f>IF(OR(planilla!$B37="",planilla!E37=""),NA(),planilla!E37)</f>
        <v>#N/A</v>
      </c>
      <c r="E25" s="9" t="e">
        <f>IF(OR(planilla!$B37="",planilla!F37=""),NA(),planilla!F37)</f>
        <v>#N/A</v>
      </c>
    </row>
    <row r="26" spans="2:5" x14ac:dyDescent="0.3">
      <c r="B26" s="12" t="e">
        <f>IF(planilla!$B38="",NA(),planilla!$B38)</f>
        <v>#N/A</v>
      </c>
      <c r="C26" s="9" t="e">
        <f>IF(OR(planilla!$B38="",planilla!C38=""),NA(),planilla!C38)</f>
        <v>#N/A</v>
      </c>
      <c r="D26" s="9" t="e">
        <f>IF(OR(planilla!$B38="",planilla!E38=""),NA(),planilla!E38)</f>
        <v>#N/A</v>
      </c>
      <c r="E26" s="9" t="e">
        <f>IF(OR(planilla!$B38="",planilla!F38=""),NA(),planilla!F38)</f>
        <v>#N/A</v>
      </c>
    </row>
    <row r="27" spans="2:5" x14ac:dyDescent="0.3">
      <c r="B27" s="12" t="e">
        <f>IF(planilla!$B39="",NA(),planilla!$B39)</f>
        <v>#N/A</v>
      </c>
      <c r="C27" s="9" t="e">
        <f>IF(OR(planilla!$B39="",planilla!C39=""),NA(),planilla!C39)</f>
        <v>#N/A</v>
      </c>
      <c r="D27" s="9" t="e">
        <f>IF(OR(planilla!$B39="",planilla!E39=""),NA(),planilla!E39)</f>
        <v>#N/A</v>
      </c>
      <c r="E27" s="9" t="e">
        <f>IF(OR(planilla!$B39="",planilla!F39=""),NA(),planilla!F39)</f>
        <v>#N/A</v>
      </c>
    </row>
    <row r="28" spans="2:5" x14ac:dyDescent="0.3">
      <c r="B28" s="12" t="e">
        <f>IF(planilla!$B40="",NA(),planilla!$B40)</f>
        <v>#N/A</v>
      </c>
      <c r="C28" s="9" t="e">
        <f>IF(OR(planilla!$B40="",planilla!C40=""),NA(),planilla!C40)</f>
        <v>#N/A</v>
      </c>
      <c r="D28" s="9" t="e">
        <f>IF(OR(planilla!$B40="",planilla!E40=""),NA(),planilla!E40)</f>
        <v>#N/A</v>
      </c>
      <c r="E28" s="9" t="e">
        <f>IF(OR(planilla!$B40="",planilla!F40=""),NA(),planilla!F40)</f>
        <v>#N/A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7E7F1-D657-4CDD-B932-9AB50110172C}">
  <sheetPr codeName="planilla">
    <tabColor theme="4" tint="-0.249977111117893"/>
  </sheetPr>
  <dimension ref="A1:AC67"/>
  <sheetViews>
    <sheetView showGridLines="0" tabSelected="1" view="pageBreakPreview" zoomScale="70" zoomScaleNormal="40" zoomScaleSheetLayoutView="70" workbookViewId="0">
      <selection activeCell="H48" sqref="H48:H49"/>
    </sheetView>
  </sheetViews>
  <sheetFormatPr baseColWidth="10" defaultColWidth="11.5546875" defaultRowHeight="14.4" x14ac:dyDescent="0.3"/>
  <cols>
    <col min="1" max="1" width="2.33203125" style="13" customWidth="1"/>
    <col min="2" max="2" width="17.77734375" style="13" customWidth="1"/>
    <col min="3" max="3" width="13.6640625" style="13" bestFit="1" customWidth="1"/>
    <col min="4" max="4" width="14.88671875" style="13" bestFit="1" customWidth="1"/>
    <col min="5" max="5" width="16.5546875" style="13" customWidth="1"/>
    <col min="6" max="6" width="15.88671875" style="13" customWidth="1"/>
    <col min="7" max="7" width="16.33203125" style="13" bestFit="1" customWidth="1"/>
    <col min="8" max="8" width="15" style="13" bestFit="1" customWidth="1"/>
    <col min="9" max="9" width="16.6640625" style="13" customWidth="1"/>
    <col min="10" max="10" width="16.44140625" style="13" customWidth="1"/>
    <col min="11" max="11" width="17.88671875" style="13" customWidth="1"/>
    <col min="12" max="12" width="16.44140625" style="13" customWidth="1"/>
    <col min="13" max="13" width="13.5546875" style="13" bestFit="1" customWidth="1"/>
    <col min="14" max="14" width="13.88671875" style="13" customWidth="1"/>
    <col min="15" max="15" width="25" style="13" customWidth="1"/>
    <col min="16" max="16" width="28.33203125" style="13" bestFit="1" customWidth="1"/>
    <col min="17" max="17" width="50.6640625" style="13" customWidth="1"/>
    <col min="18" max="16384" width="11.5546875" style="13"/>
  </cols>
  <sheetData>
    <row r="1" spans="1:29" ht="22.2" customHeight="1" thickTop="1" x14ac:dyDescent="0.3">
      <c r="A1" s="239" t="e" vm="1">
        <v>#VALUE!</v>
      </c>
      <c r="B1" s="240"/>
      <c r="C1" s="240"/>
      <c r="D1" s="240"/>
      <c r="E1" s="241"/>
      <c r="F1" s="226" t="s">
        <v>35</v>
      </c>
      <c r="G1" s="227"/>
      <c r="H1" s="227"/>
      <c r="I1" s="227"/>
      <c r="J1" s="227"/>
      <c r="K1" s="227"/>
      <c r="L1" s="228"/>
      <c r="M1" s="235" t="s">
        <v>39</v>
      </c>
      <c r="N1" s="236"/>
      <c r="P1" s="13" t="s">
        <v>35</v>
      </c>
    </row>
    <row r="2" spans="1:29" ht="22.2" customHeight="1" x14ac:dyDescent="0.3">
      <c r="A2" s="242"/>
      <c r="B2" s="243"/>
      <c r="C2" s="243"/>
      <c r="D2" s="243"/>
      <c r="E2" s="244"/>
      <c r="F2" s="229"/>
      <c r="G2" s="230"/>
      <c r="H2" s="230"/>
      <c r="I2" s="230"/>
      <c r="J2" s="230"/>
      <c r="K2" s="230"/>
      <c r="L2" s="231"/>
      <c r="M2" s="237"/>
      <c r="N2" s="238"/>
      <c r="P2" s="13" t="s">
        <v>36</v>
      </c>
      <c r="S2" s="14"/>
      <c r="T2" s="15"/>
      <c r="U2" s="15"/>
      <c r="V2" s="15"/>
      <c r="W2" s="16"/>
    </row>
    <row r="3" spans="1:29" ht="22.2" customHeight="1" x14ac:dyDescent="0.3">
      <c r="A3" s="242"/>
      <c r="B3" s="243"/>
      <c r="C3" s="243"/>
      <c r="D3" s="243"/>
      <c r="E3" s="244"/>
      <c r="F3" s="229"/>
      <c r="G3" s="230"/>
      <c r="H3" s="230"/>
      <c r="I3" s="230"/>
      <c r="J3" s="230"/>
      <c r="K3" s="230"/>
      <c r="L3" s="231"/>
      <c r="M3" s="237"/>
      <c r="N3" s="238"/>
      <c r="S3" s="14"/>
      <c r="T3" s="15"/>
      <c r="U3" s="15"/>
      <c r="V3" s="15"/>
      <c r="W3" s="16"/>
    </row>
    <row r="4" spans="1:29" ht="22.2" customHeight="1" thickBot="1" x14ac:dyDescent="0.35">
      <c r="A4" s="245"/>
      <c r="B4" s="246"/>
      <c r="C4" s="246"/>
      <c r="D4" s="246"/>
      <c r="E4" s="247"/>
      <c r="F4" s="232"/>
      <c r="G4" s="233"/>
      <c r="H4" s="233"/>
      <c r="I4" s="233"/>
      <c r="J4" s="233"/>
      <c r="K4" s="233"/>
      <c r="L4" s="234"/>
      <c r="M4" s="224">
        <v>46266</v>
      </c>
      <c r="N4" s="225"/>
      <c r="P4" s="17"/>
      <c r="S4" s="14"/>
      <c r="U4" s="15"/>
      <c r="V4" s="15"/>
      <c r="W4" s="16"/>
    </row>
    <row r="5" spans="1:29" ht="19.8" thickBot="1" x14ac:dyDescent="0.35">
      <c r="A5" s="18"/>
      <c r="B5" s="208" t="s">
        <v>2</v>
      </c>
      <c r="C5" s="208"/>
      <c r="D5" s="209" t="s">
        <v>32</v>
      </c>
      <c r="E5" s="209"/>
      <c r="F5" s="209"/>
      <c r="G5" s="210" t="s">
        <v>43</v>
      </c>
      <c r="H5" s="211"/>
      <c r="I5" s="211"/>
      <c r="J5" s="211"/>
      <c r="K5" s="211"/>
      <c r="L5" s="211"/>
      <c r="M5" s="211"/>
      <c r="N5" s="212"/>
      <c r="P5" s="17"/>
      <c r="S5" s="14"/>
      <c r="U5" s="15"/>
      <c r="V5" s="15"/>
      <c r="W5" s="16"/>
    </row>
    <row r="6" spans="1:29" ht="19.8" thickBot="1" x14ac:dyDescent="0.35">
      <c r="A6" s="18"/>
      <c r="B6" s="208" t="s">
        <v>3</v>
      </c>
      <c r="C6" s="208"/>
      <c r="D6" s="209" t="s">
        <v>31</v>
      </c>
      <c r="E6" s="209"/>
      <c r="F6" s="209"/>
      <c r="G6" s="213" t="s">
        <v>44</v>
      </c>
      <c r="H6" s="214"/>
      <c r="I6" s="214"/>
      <c r="J6" s="214"/>
      <c r="K6" s="214"/>
      <c r="L6" s="214"/>
      <c r="M6" s="214"/>
      <c r="N6" s="215"/>
      <c r="P6" s="17"/>
      <c r="S6" s="14"/>
      <c r="U6" s="15"/>
      <c r="V6" s="15"/>
      <c r="W6" s="16"/>
    </row>
    <row r="7" spans="1:29" ht="19.8" thickBot="1" x14ac:dyDescent="0.35">
      <c r="A7" s="18"/>
      <c r="B7" s="208" t="s">
        <v>34</v>
      </c>
      <c r="C7" s="208"/>
      <c r="D7" s="209" t="s">
        <v>33</v>
      </c>
      <c r="E7" s="209"/>
      <c r="F7" s="209"/>
      <c r="G7" s="213"/>
      <c r="H7" s="214"/>
      <c r="I7" s="214"/>
      <c r="J7" s="214"/>
      <c r="K7" s="214"/>
      <c r="L7" s="214"/>
      <c r="M7" s="214"/>
      <c r="N7" s="215"/>
      <c r="P7" s="17"/>
      <c r="S7" s="14"/>
      <c r="U7" s="15"/>
      <c r="V7" s="15"/>
      <c r="W7" s="16"/>
    </row>
    <row r="8" spans="1:29" ht="37.200000000000003" customHeight="1" thickTop="1" thickBot="1" x14ac:dyDescent="0.35">
      <c r="A8" s="18"/>
      <c r="B8" s="219" t="s">
        <v>4</v>
      </c>
      <c r="C8" s="220"/>
      <c r="D8" s="221">
        <f ca="1">TODAY()</f>
        <v>46283</v>
      </c>
      <c r="E8" s="222"/>
      <c r="F8" s="223"/>
      <c r="G8" s="216"/>
      <c r="H8" s="217"/>
      <c r="I8" s="217"/>
      <c r="J8" s="217"/>
      <c r="K8" s="217"/>
      <c r="L8" s="217"/>
      <c r="M8" s="217"/>
      <c r="N8" s="218"/>
      <c r="P8" s="17"/>
      <c r="S8" s="14"/>
      <c r="T8" s="15"/>
      <c r="U8" s="15"/>
      <c r="V8" s="15"/>
      <c r="W8" s="16"/>
    </row>
    <row r="9" spans="1:29" ht="7.5" customHeight="1" thickTop="1" thickBot="1" x14ac:dyDescent="0.35">
      <c r="A9" s="19"/>
      <c r="B9" s="20"/>
      <c r="C9" s="20"/>
      <c r="D9" s="21"/>
      <c r="E9" s="21"/>
      <c r="F9" s="21"/>
      <c r="G9" s="22"/>
      <c r="H9" s="22"/>
      <c r="I9" s="22"/>
      <c r="J9" s="22"/>
      <c r="K9" s="22"/>
      <c r="L9" s="22"/>
      <c r="M9" s="22"/>
      <c r="N9" s="23"/>
      <c r="P9" s="17"/>
      <c r="S9" s="14"/>
      <c r="U9" s="15"/>
      <c r="V9" s="15"/>
      <c r="W9" s="16"/>
    </row>
    <row r="10" spans="1:29" ht="15.75" customHeight="1" thickBot="1" x14ac:dyDescent="0.35">
      <c r="A10" s="18"/>
      <c r="C10" s="24"/>
      <c r="D10" s="25"/>
      <c r="E10" s="25"/>
      <c r="F10" s="25"/>
      <c r="G10" s="25"/>
      <c r="H10" s="26"/>
      <c r="I10" s="27" t="s">
        <v>49</v>
      </c>
      <c r="J10" s="27" t="s">
        <v>50</v>
      </c>
      <c r="L10" s="27" t="s">
        <v>47</v>
      </c>
      <c r="M10" s="27" t="s">
        <v>48</v>
      </c>
      <c r="N10" s="28"/>
      <c r="P10" s="17"/>
      <c r="S10" s="14"/>
      <c r="U10" s="15"/>
      <c r="V10" s="15"/>
      <c r="W10" s="16"/>
    </row>
    <row r="11" spans="1:29" ht="15.75" customHeight="1" thickBot="1" x14ac:dyDescent="0.35">
      <c r="A11" s="18"/>
      <c r="B11" s="29"/>
      <c r="D11" s="30"/>
      <c r="E11" s="31"/>
      <c r="F11" s="31"/>
      <c r="G11" s="31"/>
      <c r="H11" s="26"/>
      <c r="I11" s="121">
        <f>MIN(B17:B36)</f>
        <v>11305</v>
      </c>
      <c r="J11" s="121">
        <f>MAX(B17:B36)</f>
        <v>11337</v>
      </c>
      <c r="K11" s="29"/>
      <c r="L11" s="32"/>
      <c r="M11" s="32"/>
      <c r="N11" s="33"/>
      <c r="P11" s="17"/>
      <c r="S11" s="14"/>
      <c r="U11" s="15"/>
      <c r="V11" s="15"/>
      <c r="W11" s="16"/>
    </row>
    <row r="12" spans="1:29" s="40" customFormat="1" ht="44.4" customHeight="1" thickBot="1" x14ac:dyDescent="0.35">
      <c r="A12" s="34"/>
      <c r="B12" s="35" t="s">
        <v>53</v>
      </c>
      <c r="C12" s="36" t="s">
        <v>51</v>
      </c>
      <c r="D12" s="36" t="s">
        <v>52</v>
      </c>
      <c r="E12" s="36" t="s">
        <v>54</v>
      </c>
      <c r="F12" s="36" t="s">
        <v>55</v>
      </c>
      <c r="G12" s="37" t="s">
        <v>56</v>
      </c>
      <c r="H12" s="38"/>
      <c r="I12" s="39" t="s">
        <v>46</v>
      </c>
      <c r="J12" s="39" t="s">
        <v>45</v>
      </c>
      <c r="K12" s="39" t="s">
        <v>29</v>
      </c>
      <c r="L12" s="39" t="s">
        <v>16</v>
      </c>
      <c r="M12" s="175" t="s">
        <v>1</v>
      </c>
      <c r="N12" s="176"/>
      <c r="P12" s="41"/>
      <c r="S12" s="42"/>
      <c r="U12" s="15"/>
      <c r="V12" s="15"/>
      <c r="W12" s="16"/>
      <c r="X12" s="13"/>
      <c r="Y12" s="13"/>
      <c r="Z12" s="13"/>
      <c r="AA12" s="13"/>
      <c r="AB12" s="13"/>
      <c r="AC12" s="13"/>
    </row>
    <row r="13" spans="1:29" s="49" customFormat="1" ht="30" customHeight="1" thickBot="1" x14ac:dyDescent="0.35">
      <c r="A13" s="43"/>
      <c r="B13" s="122">
        <f>I11</f>
        <v>11305</v>
      </c>
      <c r="C13" s="44"/>
      <c r="D13" s="44"/>
      <c r="E13" s="123">
        <f>J11</f>
        <v>11337</v>
      </c>
      <c r="F13" s="44"/>
      <c r="G13" s="45"/>
      <c r="H13" s="46"/>
      <c r="I13" s="47">
        <v>0.1</v>
      </c>
      <c r="J13" s="44">
        <v>5.0000000000000001E-3</v>
      </c>
      <c r="K13" s="124">
        <f>ROUND((PI()*((I13/2)+J13)^2),3)</f>
        <v>0.01</v>
      </c>
      <c r="L13" s="48" t="s">
        <v>30</v>
      </c>
      <c r="M13" s="173" t="str">
        <f>IF(F1=P1,"ALCANTARILLA","FILTRO")</f>
        <v>ALCANTARILLA</v>
      </c>
      <c r="N13" s="174"/>
      <c r="P13" s="41"/>
      <c r="Q13" s="40"/>
      <c r="S13" s="42"/>
      <c r="T13" s="40"/>
      <c r="U13" s="50"/>
      <c r="V13" s="50"/>
    </row>
    <row r="14" spans="1:29" s="55" customFormat="1" ht="30" customHeight="1" thickBot="1" x14ac:dyDescent="0.35">
      <c r="A14" s="51"/>
      <c r="B14" s="52" t="s">
        <v>59</v>
      </c>
      <c r="C14" s="52" t="s">
        <v>60</v>
      </c>
      <c r="D14" s="52" t="s">
        <v>57</v>
      </c>
      <c r="E14" s="53" t="s">
        <v>41</v>
      </c>
      <c r="F14" s="111" t="str">
        <f>IF(F1=P1,"Cama Triturado","")</f>
        <v>Cama Triturado</v>
      </c>
      <c r="G14" s="52" t="s">
        <v>58</v>
      </c>
      <c r="H14" s="38"/>
      <c r="I14" s="39"/>
      <c r="J14" s="36"/>
      <c r="K14" s="36"/>
      <c r="L14" s="36"/>
      <c r="M14" s="36"/>
      <c r="N14" s="54"/>
      <c r="P14" s="41"/>
      <c r="Q14" s="40"/>
      <c r="R14" s="40"/>
      <c r="S14" s="42"/>
      <c r="T14" s="40"/>
      <c r="U14" s="50"/>
      <c r="V14" s="50"/>
    </row>
    <row r="15" spans="1:29" s="64" customFormat="1" ht="19.2" thickBot="1" x14ac:dyDescent="0.35">
      <c r="A15" s="56"/>
      <c r="B15" s="125">
        <f>IFERROR(IF($E$15="","",_xlfn.LET(_xlpm.r,$I$13/2+$J$13,_xlpm.h,$E$15,ROUND(_xlpm.r^2*ACOS((_xlpm.r-_xlpm.h)/_xlpm.r)-(_xlpm.r-_xlpm.h)*SQRT(2*_xlpm.r*_xlpm.h-_xlpm.h^2),3))),"")</f>
        <v>0.01</v>
      </c>
      <c r="C15" s="126">
        <f>IFERROR(ROUND(K13-B15,3),"")</f>
        <v>0</v>
      </c>
      <c r="D15" s="57" t="s">
        <v>83</v>
      </c>
      <c r="E15" s="127">
        <f>IFERROR(IF($D$15="","",ROUND(2*($I$13/2+$J$13)/VALUE(MID($D$15,FIND(":",$D$15)+1,10)),3)),"")</f>
        <v>0.11</v>
      </c>
      <c r="F15" s="58">
        <v>0.3</v>
      </c>
      <c r="G15" s="59">
        <v>0.6</v>
      </c>
      <c r="H15" s="60"/>
      <c r="I15" s="61"/>
      <c r="J15" s="62"/>
      <c r="K15" s="62"/>
      <c r="L15" s="62"/>
      <c r="M15" s="62"/>
      <c r="N15" s="63"/>
      <c r="P15" s="41"/>
      <c r="S15" s="65"/>
      <c r="U15" s="66"/>
      <c r="V15" s="66"/>
    </row>
    <row r="16" spans="1:29" ht="32.4" thickTop="1" thickBot="1" x14ac:dyDescent="0.35">
      <c r="A16" s="67"/>
      <c r="B16" s="68" t="s">
        <v>62</v>
      </c>
      <c r="C16" s="69" t="s">
        <v>37</v>
      </c>
      <c r="D16" s="112" t="str">
        <f>IF(F1=P2,"","Subrasante de Vía")</f>
        <v>Subrasante de Vía</v>
      </c>
      <c r="E16" s="112" t="str">
        <f>IF(F1=Q1,"Cota Lomo","Terminado Filtro")</f>
        <v>Terminado Filtro</v>
      </c>
      <c r="F16" s="69" t="s">
        <v>38</v>
      </c>
      <c r="G16" s="69" t="s">
        <v>40</v>
      </c>
      <c r="H16" s="69" t="s">
        <v>42</v>
      </c>
      <c r="I16" s="69" t="s">
        <v>41</v>
      </c>
      <c r="J16" s="70" t="s">
        <v>80</v>
      </c>
      <c r="K16" s="191" t="s">
        <v>82</v>
      </c>
      <c r="L16" s="192"/>
      <c r="M16" s="192"/>
      <c r="N16" s="193"/>
      <c r="P16" s="17"/>
      <c r="S16" s="14"/>
      <c r="U16" s="16"/>
      <c r="V16" s="16"/>
    </row>
    <row r="17" spans="1:22" ht="19.95" customHeight="1" thickBot="1" x14ac:dyDescent="0.35">
      <c r="A17" s="18"/>
      <c r="B17" s="71">
        <v>11305</v>
      </c>
      <c r="C17" s="72">
        <v>1264.646</v>
      </c>
      <c r="D17" s="72"/>
      <c r="E17" s="72"/>
      <c r="F17" s="72">
        <v>1263.7919999999999</v>
      </c>
      <c r="G17" s="128">
        <f>IFERROR(IF(B17&lt;&gt;0,(C17-F17),""),"")</f>
        <v>0.85400000000004184</v>
      </c>
      <c r="H17" s="128">
        <f t="shared" ref="H17:H32" si="0">IFERROR(IF(G17&lt;&gt;"",IF($F$1=$P$1,$E$15+$F$15,E17-F17),""),"")</f>
        <v>0.41</v>
      </c>
      <c r="I17" s="128">
        <f>IFERROR(IF(G17&lt;&gt;"",IF($F$1=$P$1,G17-($E$15+$F$15),0),""),"")</f>
        <v>0.44400000000004186</v>
      </c>
      <c r="J17" s="73"/>
      <c r="K17" s="74"/>
      <c r="L17" s="75"/>
      <c r="M17" s="75"/>
      <c r="N17" s="76"/>
      <c r="O17" s="16"/>
      <c r="P17" s="17"/>
      <c r="S17" s="14"/>
      <c r="U17" s="16"/>
      <c r="V17" s="16"/>
    </row>
    <row r="18" spans="1:22" ht="19.95" customHeight="1" x14ac:dyDescent="0.3">
      <c r="A18" s="77"/>
      <c r="B18" s="78">
        <v>11307</v>
      </c>
      <c r="C18" s="79">
        <v>1264.7159999999999</v>
      </c>
      <c r="D18" s="79"/>
      <c r="E18" s="79"/>
      <c r="F18" s="79">
        <v>1263.9690000000001</v>
      </c>
      <c r="G18" s="129">
        <f t="shared" ref="G18:G36" si="1">IFERROR(IF(B18&lt;&gt;0,(C18-F18),""),"")</f>
        <v>0.74699999999984357</v>
      </c>
      <c r="H18" s="129">
        <f t="shared" si="0"/>
        <v>0.41</v>
      </c>
      <c r="I18" s="129">
        <f t="shared" ref="I18:I36" si="2">IFERROR(IF(G18&lt;&gt;"",IF($F$1=$P$1,G18-($E$15+$F$15),0),""),"")</f>
        <v>0.33699999999984359</v>
      </c>
      <c r="J18" s="130" t="str">
        <f>IFERROR(IF(B18&lt;&gt;"",IF($F$1=$P$1,"",AVERAGE(H17:H18)*2+$G$15*2),""),"")</f>
        <v/>
      </c>
      <c r="K18" s="74"/>
      <c r="L18" s="196" t="str">
        <f>"Ancho "&amp;G15</f>
        <v>Ancho 0.6</v>
      </c>
      <c r="M18" s="197"/>
      <c r="N18" s="198"/>
      <c r="O18" s="16"/>
      <c r="P18" s="17"/>
      <c r="S18" s="14"/>
      <c r="U18" s="16"/>
      <c r="V18" s="16"/>
    </row>
    <row r="19" spans="1:22" ht="19.95" customHeight="1" thickBot="1" x14ac:dyDescent="0.35">
      <c r="A19" s="77"/>
      <c r="B19" s="78">
        <f>B18+5</f>
        <v>11312</v>
      </c>
      <c r="C19" s="79">
        <v>1264.838</v>
      </c>
      <c r="D19" s="79"/>
      <c r="E19" s="79"/>
      <c r="F19" s="79">
        <v>1264.1289999999999</v>
      </c>
      <c r="G19" s="129">
        <f t="shared" si="1"/>
        <v>0.70900000000006003</v>
      </c>
      <c r="H19" s="129">
        <f t="shared" si="0"/>
        <v>0.41</v>
      </c>
      <c r="I19" s="129">
        <f t="shared" si="2"/>
        <v>0.29900000000006005</v>
      </c>
      <c r="J19" s="130" t="str">
        <f t="shared" ref="J19:J36" si="3">IFERROR(IF(B19&lt;&gt;"",IF($F$1=$P$1,"",AVERAGE(H18:H19)*2+$G$15*2),""),"")</f>
        <v/>
      </c>
      <c r="K19" s="74"/>
      <c r="L19" s="199"/>
      <c r="M19" s="200"/>
      <c r="N19" s="201"/>
      <c r="P19" s="17"/>
      <c r="S19" s="14"/>
      <c r="U19" s="16"/>
      <c r="V19" s="16"/>
    </row>
    <row r="20" spans="1:22" ht="19.95" customHeight="1" x14ac:dyDescent="0.3">
      <c r="A20" s="77"/>
      <c r="B20" s="78">
        <f t="shared" ref="B20:B24" si="4">B19+5</f>
        <v>11317</v>
      </c>
      <c r="C20" s="79">
        <v>1264.9269999999999</v>
      </c>
      <c r="D20" s="79"/>
      <c r="E20" s="79"/>
      <c r="F20" s="79">
        <v>1264.19</v>
      </c>
      <c r="G20" s="129">
        <f t="shared" si="1"/>
        <v>0.73699999999985266</v>
      </c>
      <c r="H20" s="129">
        <f t="shared" si="0"/>
        <v>0.41</v>
      </c>
      <c r="I20" s="129">
        <f t="shared" si="2"/>
        <v>0.32699999999985269</v>
      </c>
      <c r="J20" s="130" t="str">
        <f t="shared" si="3"/>
        <v/>
      </c>
      <c r="K20" s="74"/>
      <c r="P20" s="41"/>
      <c r="S20" s="14"/>
      <c r="U20" s="16"/>
      <c r="V20" s="16"/>
    </row>
    <row r="21" spans="1:22" ht="19.95" customHeight="1" x14ac:dyDescent="0.3">
      <c r="A21" s="77"/>
      <c r="B21" s="78">
        <f t="shared" si="4"/>
        <v>11322</v>
      </c>
      <c r="C21" s="79">
        <v>1264.9929999999999</v>
      </c>
      <c r="D21" s="79"/>
      <c r="E21" s="79"/>
      <c r="F21" s="79">
        <v>1264.2460000000001</v>
      </c>
      <c r="G21" s="129">
        <f t="shared" si="1"/>
        <v>0.74699999999984357</v>
      </c>
      <c r="H21" s="129">
        <f t="shared" si="0"/>
        <v>0.41</v>
      </c>
      <c r="I21" s="129">
        <f t="shared" si="2"/>
        <v>0.33699999999984359</v>
      </c>
      <c r="J21" s="130" t="str">
        <f t="shared" si="3"/>
        <v/>
      </c>
      <c r="K21" s="74"/>
      <c r="L21" s="75"/>
      <c r="M21" s="75"/>
      <c r="N21" s="76"/>
      <c r="P21" s="41"/>
      <c r="S21" s="14"/>
      <c r="U21" s="16"/>
      <c r="V21" s="16"/>
    </row>
    <row r="22" spans="1:22" ht="19.95" customHeight="1" thickBot="1" x14ac:dyDescent="0.35">
      <c r="A22" s="77"/>
      <c r="B22" s="78">
        <f t="shared" si="4"/>
        <v>11327</v>
      </c>
      <c r="C22" s="79">
        <v>1265.096</v>
      </c>
      <c r="D22" s="79"/>
      <c r="E22" s="79"/>
      <c r="F22" s="79">
        <v>1264.4259999999999</v>
      </c>
      <c r="G22" s="129">
        <f t="shared" si="1"/>
        <v>0.67000000000007276</v>
      </c>
      <c r="H22" s="129">
        <f t="shared" si="0"/>
        <v>0.41</v>
      </c>
      <c r="I22" s="129">
        <f t="shared" si="2"/>
        <v>0.26000000000007278</v>
      </c>
      <c r="J22" s="130" t="str">
        <f t="shared" si="3"/>
        <v/>
      </c>
      <c r="K22" s="80"/>
      <c r="L22" s="75"/>
      <c r="M22" s="75"/>
      <c r="N22" s="76"/>
      <c r="P22" s="41"/>
      <c r="S22" s="14"/>
      <c r="U22" s="16"/>
      <c r="V22" s="16"/>
    </row>
    <row r="23" spans="1:22" ht="19.95" customHeight="1" x14ac:dyDescent="0.3">
      <c r="A23" s="77"/>
      <c r="B23" s="78">
        <f t="shared" si="4"/>
        <v>11332</v>
      </c>
      <c r="C23" s="79">
        <v>1265.173</v>
      </c>
      <c r="D23" s="79"/>
      <c r="E23" s="79"/>
      <c r="F23" s="79">
        <v>1264.4179999999999</v>
      </c>
      <c r="G23" s="129">
        <f t="shared" si="1"/>
        <v>0.75500000000010914</v>
      </c>
      <c r="H23" s="129">
        <f t="shared" si="0"/>
        <v>0.41</v>
      </c>
      <c r="I23" s="129">
        <f t="shared" si="2"/>
        <v>0.34500000000010916</v>
      </c>
      <c r="J23" s="130" t="str">
        <f t="shared" si="3"/>
        <v/>
      </c>
      <c r="K23" s="194" t="str">
        <f>IFERROR(IF(G17&lt;&gt;"",IF($F$1=$P$1,"Alt Rell. "&amp;ROUND(I41,3),"Anc. Geot "&amp;ROUND(J41,3)),""),"")</f>
        <v>Alt Rell. 0.313</v>
      </c>
      <c r="L23" s="75"/>
      <c r="M23" s="75"/>
      <c r="N23" s="76"/>
      <c r="P23" s="41"/>
      <c r="S23" s="14"/>
      <c r="U23" s="16"/>
      <c r="V23" s="16"/>
    </row>
    <row r="24" spans="1:22" ht="19.95" customHeight="1" thickBot="1" x14ac:dyDescent="0.35">
      <c r="A24" s="77"/>
      <c r="B24" s="78">
        <f t="shared" si="4"/>
        <v>11337</v>
      </c>
      <c r="C24" s="79">
        <v>1265.2439999999999</v>
      </c>
      <c r="D24" s="79"/>
      <c r="E24" s="79"/>
      <c r="F24" s="79">
        <v>1264.68</v>
      </c>
      <c r="G24" s="129">
        <f t="shared" si="1"/>
        <v>0.56399999999985084</v>
      </c>
      <c r="H24" s="129">
        <f t="shared" si="0"/>
        <v>0.41</v>
      </c>
      <c r="I24" s="129">
        <f t="shared" si="2"/>
        <v>0.15399999999985087</v>
      </c>
      <c r="J24" s="130" t="str">
        <f t="shared" si="3"/>
        <v/>
      </c>
      <c r="K24" s="195"/>
      <c r="L24" s="75"/>
      <c r="M24" s="75"/>
      <c r="N24" s="76"/>
      <c r="P24" s="41"/>
      <c r="S24" s="14"/>
      <c r="U24" s="16"/>
      <c r="V24" s="16"/>
    </row>
    <row r="25" spans="1:22" ht="19.95" customHeight="1" x14ac:dyDescent="0.3">
      <c r="A25" s="77"/>
      <c r="B25" s="78"/>
      <c r="C25" s="79"/>
      <c r="D25" s="79"/>
      <c r="E25" s="79"/>
      <c r="F25" s="79"/>
      <c r="G25" s="129" t="str">
        <f t="shared" si="1"/>
        <v/>
      </c>
      <c r="H25" s="129" t="str">
        <f t="shared" si="0"/>
        <v/>
      </c>
      <c r="I25" s="129" t="str">
        <f t="shared" si="2"/>
        <v/>
      </c>
      <c r="J25" s="130" t="str">
        <f t="shared" si="3"/>
        <v/>
      </c>
      <c r="K25" s="74"/>
      <c r="L25" s="75"/>
      <c r="M25" s="75"/>
      <c r="N25" s="76"/>
      <c r="P25" s="41"/>
      <c r="S25" s="14"/>
      <c r="U25" s="16"/>
      <c r="V25" s="16"/>
    </row>
    <row r="26" spans="1:22" ht="19.95" customHeight="1" x14ac:dyDescent="0.3">
      <c r="A26" s="77"/>
      <c r="B26" s="78"/>
      <c r="C26" s="79"/>
      <c r="D26" s="79"/>
      <c r="E26" s="79"/>
      <c r="F26" s="79"/>
      <c r="G26" s="129" t="str">
        <f t="shared" si="1"/>
        <v/>
      </c>
      <c r="H26" s="129" t="str">
        <f t="shared" si="0"/>
        <v/>
      </c>
      <c r="I26" s="129" t="str">
        <f t="shared" si="2"/>
        <v/>
      </c>
      <c r="J26" s="130" t="str">
        <f t="shared" si="3"/>
        <v/>
      </c>
      <c r="K26" s="74"/>
      <c r="L26" s="75"/>
      <c r="M26" s="75"/>
      <c r="N26" s="76"/>
      <c r="S26" s="14"/>
      <c r="U26" s="16"/>
      <c r="V26" s="16"/>
    </row>
    <row r="27" spans="1:22" ht="19.95" customHeight="1" x14ac:dyDescent="0.3">
      <c r="A27" s="77"/>
      <c r="B27" s="78"/>
      <c r="C27" s="79"/>
      <c r="D27" s="79"/>
      <c r="E27" s="79"/>
      <c r="F27" s="79"/>
      <c r="G27" s="129" t="str">
        <f t="shared" si="1"/>
        <v/>
      </c>
      <c r="H27" s="129" t="str">
        <f t="shared" si="0"/>
        <v/>
      </c>
      <c r="I27" s="129" t="str">
        <f t="shared" si="2"/>
        <v/>
      </c>
      <c r="J27" s="130" t="str">
        <f t="shared" si="3"/>
        <v/>
      </c>
      <c r="K27" s="74"/>
      <c r="L27" s="75"/>
      <c r="M27" s="75"/>
      <c r="N27" s="76"/>
      <c r="P27" s="81"/>
      <c r="S27" s="14"/>
      <c r="U27" s="16"/>
      <c r="V27" s="16"/>
    </row>
    <row r="28" spans="1:22" ht="19.95" customHeight="1" x14ac:dyDescent="0.3">
      <c r="A28" s="77"/>
      <c r="B28" s="78"/>
      <c r="C28" s="79"/>
      <c r="D28" s="79"/>
      <c r="E28" s="79"/>
      <c r="F28" s="79"/>
      <c r="G28" s="129" t="str">
        <f t="shared" si="1"/>
        <v/>
      </c>
      <c r="H28" s="129" t="str">
        <f t="shared" si="0"/>
        <v/>
      </c>
      <c r="I28" s="129" t="str">
        <f t="shared" si="2"/>
        <v/>
      </c>
      <c r="J28" s="130" t="str">
        <f t="shared" si="3"/>
        <v/>
      </c>
      <c r="K28" s="74"/>
      <c r="L28" s="75"/>
      <c r="M28" s="75"/>
      <c r="N28" s="76"/>
      <c r="S28" s="14"/>
      <c r="U28" s="16"/>
      <c r="V28" s="16"/>
    </row>
    <row r="29" spans="1:22" ht="19.95" customHeight="1" thickBot="1" x14ac:dyDescent="0.35">
      <c r="A29" s="77"/>
      <c r="B29" s="78"/>
      <c r="C29" s="79"/>
      <c r="D29" s="79"/>
      <c r="E29" s="79"/>
      <c r="F29" s="79"/>
      <c r="G29" s="129" t="str">
        <f t="shared" si="1"/>
        <v/>
      </c>
      <c r="H29" s="129" t="str">
        <f t="shared" si="0"/>
        <v/>
      </c>
      <c r="I29" s="129" t="str">
        <f t="shared" si="2"/>
        <v/>
      </c>
      <c r="J29" s="130" t="str">
        <f t="shared" si="3"/>
        <v/>
      </c>
      <c r="K29" s="74"/>
      <c r="L29" s="75"/>
      <c r="M29" s="75"/>
      <c r="N29" s="76"/>
      <c r="S29" s="14"/>
      <c r="U29" s="16"/>
      <c r="V29" s="16"/>
    </row>
    <row r="30" spans="1:22" ht="19.95" customHeight="1" x14ac:dyDescent="0.3">
      <c r="A30" s="77"/>
      <c r="B30" s="78"/>
      <c r="C30" s="79"/>
      <c r="D30" s="79"/>
      <c r="E30" s="79"/>
      <c r="F30" s="79"/>
      <c r="G30" s="129" t="str">
        <f t="shared" si="1"/>
        <v/>
      </c>
      <c r="H30" s="129" t="str">
        <f t="shared" si="0"/>
        <v/>
      </c>
      <c r="I30" s="129" t="str">
        <f t="shared" si="2"/>
        <v/>
      </c>
      <c r="J30" s="130" t="str">
        <f t="shared" si="3"/>
        <v/>
      </c>
      <c r="K30" s="194" t="str">
        <f>IFERROR(IF(G17&lt;&gt;"",IF($F$1=$P$1,"Alt Tritur. "&amp;ROUND(H41,3),"Alt Tritur. "&amp;ROUND(H41,3)),""),"")</f>
        <v>Alt Tritur. 0.41</v>
      </c>
      <c r="L30" s="75"/>
      <c r="M30" s="75"/>
      <c r="N30" s="76"/>
      <c r="S30" s="14"/>
      <c r="U30" s="16"/>
      <c r="V30" s="16"/>
    </row>
    <row r="31" spans="1:22" ht="19.95" customHeight="1" thickBot="1" x14ac:dyDescent="0.35">
      <c r="A31" s="77"/>
      <c r="B31" s="78"/>
      <c r="C31" s="79"/>
      <c r="D31" s="79"/>
      <c r="E31" s="79"/>
      <c r="F31" s="79"/>
      <c r="G31" s="129" t="str">
        <f t="shared" si="1"/>
        <v/>
      </c>
      <c r="H31" s="129" t="str">
        <f t="shared" si="0"/>
        <v/>
      </c>
      <c r="I31" s="129" t="str">
        <f t="shared" si="2"/>
        <v/>
      </c>
      <c r="J31" s="130" t="str">
        <f t="shared" si="3"/>
        <v/>
      </c>
      <c r="K31" s="195"/>
      <c r="L31" s="75"/>
      <c r="M31" s="75"/>
      <c r="N31" s="76"/>
      <c r="S31" s="14"/>
      <c r="U31" s="16"/>
      <c r="V31" s="16"/>
    </row>
    <row r="32" spans="1:22" ht="19.95" customHeight="1" x14ac:dyDescent="0.3">
      <c r="A32" s="77"/>
      <c r="B32" s="78"/>
      <c r="C32" s="79"/>
      <c r="D32" s="79"/>
      <c r="E32" s="79"/>
      <c r="F32" s="79"/>
      <c r="G32" s="129" t="str">
        <f t="shared" si="1"/>
        <v/>
      </c>
      <c r="H32" s="129" t="str">
        <f t="shared" si="0"/>
        <v/>
      </c>
      <c r="I32" s="129" t="str">
        <f t="shared" si="2"/>
        <v/>
      </c>
      <c r="J32" s="130" t="str">
        <f t="shared" si="3"/>
        <v/>
      </c>
      <c r="K32" s="74"/>
      <c r="L32" s="75"/>
      <c r="M32" s="75"/>
      <c r="N32" s="76"/>
      <c r="S32" s="14"/>
      <c r="U32" s="16"/>
      <c r="V32" s="16"/>
    </row>
    <row r="33" spans="1:22" ht="19.95" customHeight="1" x14ac:dyDescent="0.3">
      <c r="A33" s="77"/>
      <c r="B33" s="78"/>
      <c r="C33" s="79"/>
      <c r="D33" s="79"/>
      <c r="E33" s="79"/>
      <c r="F33" s="79"/>
      <c r="G33" s="129" t="str">
        <f t="shared" si="1"/>
        <v/>
      </c>
      <c r="H33" s="129" t="str">
        <f>IFERROR(IF(G33&lt;&gt;"",IF($F$1=$P$1,$E$15+$F$15,E33-F33),""),"")</f>
        <v/>
      </c>
      <c r="I33" s="129" t="str">
        <f t="shared" si="2"/>
        <v/>
      </c>
      <c r="J33" s="130" t="str">
        <f t="shared" si="3"/>
        <v/>
      </c>
      <c r="K33" s="74"/>
      <c r="L33" s="75"/>
      <c r="M33" s="75"/>
      <c r="N33" s="76"/>
      <c r="S33" s="14"/>
      <c r="U33" s="16"/>
      <c r="V33" s="16"/>
    </row>
    <row r="34" spans="1:22" ht="19.95" customHeight="1" x14ac:dyDescent="0.3">
      <c r="A34" s="77"/>
      <c r="B34" s="78"/>
      <c r="C34" s="79"/>
      <c r="D34" s="79"/>
      <c r="E34" s="79"/>
      <c r="F34" s="79"/>
      <c r="G34" s="129" t="str">
        <f t="shared" si="1"/>
        <v/>
      </c>
      <c r="H34" s="129" t="str">
        <f t="shared" ref="H34:H36" si="5">IFERROR(IF(G34&lt;&gt;"",IF($F$1=$P$1,$E$15+$F$15,E34-F34),""),"")</f>
        <v/>
      </c>
      <c r="I34" s="129" t="str">
        <f t="shared" si="2"/>
        <v/>
      </c>
      <c r="J34" s="130" t="str">
        <f t="shared" si="3"/>
        <v/>
      </c>
      <c r="K34" s="74"/>
      <c r="L34" s="75"/>
      <c r="M34" s="75"/>
      <c r="N34" s="76"/>
      <c r="S34" s="14"/>
      <c r="U34" s="16"/>
      <c r="V34" s="16"/>
    </row>
    <row r="35" spans="1:22" ht="19.95" customHeight="1" x14ac:dyDescent="0.3">
      <c r="A35" s="77"/>
      <c r="B35" s="78"/>
      <c r="C35" s="79"/>
      <c r="D35" s="79"/>
      <c r="E35" s="79"/>
      <c r="F35" s="79"/>
      <c r="G35" s="129" t="str">
        <f t="shared" si="1"/>
        <v/>
      </c>
      <c r="H35" s="129" t="str">
        <f t="shared" si="5"/>
        <v/>
      </c>
      <c r="I35" s="129" t="str">
        <f t="shared" si="2"/>
        <v/>
      </c>
      <c r="J35" s="130" t="str">
        <f t="shared" si="3"/>
        <v/>
      </c>
      <c r="K35" s="74"/>
      <c r="L35" s="75"/>
      <c r="M35" s="75"/>
      <c r="N35" s="76"/>
      <c r="S35" s="14"/>
      <c r="U35" s="16"/>
      <c r="V35" s="16"/>
    </row>
    <row r="36" spans="1:22" ht="19.95" customHeight="1" thickBot="1" x14ac:dyDescent="0.35">
      <c r="A36" s="77"/>
      <c r="B36" s="78"/>
      <c r="C36" s="79"/>
      <c r="D36" s="79"/>
      <c r="E36" s="79"/>
      <c r="F36" s="79"/>
      <c r="G36" s="129" t="str">
        <f t="shared" si="1"/>
        <v/>
      </c>
      <c r="H36" s="129" t="str">
        <f t="shared" si="5"/>
        <v/>
      </c>
      <c r="I36" s="129" t="str">
        <f t="shared" si="2"/>
        <v/>
      </c>
      <c r="J36" s="130" t="str">
        <f t="shared" si="3"/>
        <v/>
      </c>
      <c r="K36" s="74"/>
      <c r="L36" s="75"/>
      <c r="M36" s="75"/>
      <c r="N36" s="76"/>
      <c r="S36" s="14"/>
      <c r="U36" s="16"/>
      <c r="V36" s="16"/>
    </row>
    <row r="37" spans="1:22" ht="19.95" hidden="1" customHeight="1" thickBot="1" x14ac:dyDescent="0.35">
      <c r="A37" s="77"/>
      <c r="B37" s="131" t="str">
        <f>IF(B36="","",IF(B36=$B$15-$J$15,"",IF(B36+6.3&lt;$B$15,B36+6.3,$B$15-$J$15)))</f>
        <v/>
      </c>
      <c r="C37" s="129" t="str">
        <f>IF(B37="","",$E$13+((#REF!-$E$13)/$B$15)*B37)</f>
        <v/>
      </c>
      <c r="D37" s="129" t="str">
        <f>IF(B37="","",($G$13+$N$15)+(B37*#REF!))</f>
        <v/>
      </c>
      <c r="E37" s="129" t="str">
        <f>IF(B37="","",F37+($F$15+$E$15))</f>
        <v/>
      </c>
      <c r="F37" s="129" t="str">
        <f>IFERROR(IF($E$15&lt;&gt;0,IF(B37="","",D37-(($M$15+$N$15*2)+$F$15+$E$15)),IF(B37="","",D37-(($M$15+$N$15*2)+$F$15+$E$15))),"")</f>
        <v/>
      </c>
      <c r="G37" s="129" t="str">
        <f>IF(B37="","",AVERAGE(IF(B36="","",ROUND((C36-F36),3)),IF(B37="","",ROUND((C37-F37),3)))*(B37-B36)*#REF!)</f>
        <v/>
      </c>
      <c r="H37" s="129">
        <f>IF(B37&lt;&gt;"",ROUND(#REF!*$F$15,3),0)</f>
        <v>0</v>
      </c>
      <c r="I37" s="129" t="str">
        <f t="shared" ref="I37:I40" si="6">IF(B37="","",AVERAGE(H36:H37)*(B37-B36))</f>
        <v/>
      </c>
      <c r="J37" s="130">
        <f>IF(D37&lt;&gt;"",ROUND(#REF!*$E$15,3),0)</f>
        <v>0</v>
      </c>
      <c r="K37" s="74"/>
      <c r="L37" s="75"/>
      <c r="M37" s="75"/>
      <c r="N37" s="76"/>
      <c r="S37" s="14"/>
      <c r="U37" s="16"/>
      <c r="V37" s="16"/>
    </row>
    <row r="38" spans="1:22" ht="19.95" hidden="1" customHeight="1" x14ac:dyDescent="0.35">
      <c r="A38" s="77"/>
      <c r="B38" s="131" t="str">
        <f>IF(B37="","",IF(B37=$B$15-$J$15,"",IF(B37+6.3&lt;$B$15,B37+6.3,$B$15-$J$15)))</f>
        <v/>
      </c>
      <c r="C38" s="129" t="str">
        <f>IF(B38="","",$E$13+((#REF!-$E$13)/$B$15)*B38)</f>
        <v/>
      </c>
      <c r="D38" s="129" t="str">
        <f>IF(B38="","",($G$13+$N$15)+(B38*#REF!))</f>
        <v/>
      </c>
      <c r="E38" s="129" t="str">
        <f>IF(B38="","",F38+($F$15+$E$15))</f>
        <v/>
      </c>
      <c r="F38" s="129" t="str">
        <f>IFERROR(IF($E$15&lt;&gt;0,IF(B38="","",D38-(($M$15+$N$15*2)+$F$15+$E$15)),IF(B38="","",D38-(($M$15+$N$15*2)+$F$15+$E$15))),"")</f>
        <v/>
      </c>
      <c r="G38" s="129" t="str">
        <f>IF(B38="","",AVERAGE(IF(B37="","",ROUND((C37-F37),3)),IF(B38="","",ROUND((C38-F38),3)))*(B38-B37)*#REF!)</f>
        <v/>
      </c>
      <c r="H38" s="129">
        <f>IF(B38&lt;&gt;"",ROUND(#REF!*$F$15,3),0)</f>
        <v>0</v>
      </c>
      <c r="I38" s="129" t="str">
        <f t="shared" si="6"/>
        <v/>
      </c>
      <c r="J38" s="130">
        <f>IF(D38&lt;&gt;"",ROUND(#REF!*$E$15,3),0)</f>
        <v>0</v>
      </c>
      <c r="K38" s="74"/>
      <c r="L38" s="75"/>
      <c r="M38" s="75"/>
      <c r="N38" s="76"/>
      <c r="S38" s="14"/>
      <c r="U38" s="16"/>
      <c r="V38" s="16"/>
    </row>
    <row r="39" spans="1:22" ht="19.95" hidden="1" customHeight="1" x14ac:dyDescent="0.35">
      <c r="A39" s="77"/>
      <c r="B39" s="131" t="str">
        <f>IF(B38="","",IF(B38=$B$15-$J$15,"",IF(B38+6.3&lt;$B$15,B38+6.3,$B$15-$J$15)))</f>
        <v/>
      </c>
      <c r="C39" s="129" t="str">
        <f>IF(B39="","",$E$13+((#REF!-$E$13)/$B$15)*B39)</f>
        <v/>
      </c>
      <c r="D39" s="129" t="str">
        <f>IF(B39="","",($G$13+$N$15)+(B39*#REF!))</f>
        <v/>
      </c>
      <c r="E39" s="129" t="str">
        <f>IF(B39="","",F39+($F$15+$E$15))</f>
        <v/>
      </c>
      <c r="F39" s="129" t="str">
        <f>IFERROR(IF($E$15&lt;&gt;0,IF(B39="","",D39-(($M$15+$N$15*2)+$F$15+$E$15)),IF(B39="","",D39-(($M$15+$N$15*2)+$F$15+$E$15))),"")</f>
        <v/>
      </c>
      <c r="G39" s="129" t="str">
        <f>IF(B39="","",AVERAGE(IF(B38="","",ROUND((C38-F38),3)),IF(B39="","",ROUND((C39-F39),3)))*(B39-B38)*#REF!)</f>
        <v/>
      </c>
      <c r="H39" s="129">
        <f>IF(B39&lt;&gt;"",ROUND(#REF!*$F$15,3),0)</f>
        <v>0</v>
      </c>
      <c r="I39" s="129" t="str">
        <f t="shared" si="6"/>
        <v/>
      </c>
      <c r="J39" s="130">
        <f>IF(D39&lt;&gt;"",ROUND(#REF!*$E$15,3),0)</f>
        <v>0</v>
      </c>
      <c r="K39" s="74"/>
      <c r="L39" s="75"/>
      <c r="M39" s="75"/>
      <c r="N39" s="76"/>
      <c r="S39" s="14"/>
      <c r="U39" s="16"/>
      <c r="V39" s="16"/>
    </row>
    <row r="40" spans="1:22" ht="19.95" hidden="1" customHeight="1" thickBot="1" x14ac:dyDescent="0.35">
      <c r="A40" s="77"/>
      <c r="B40" s="132" t="str">
        <f>IF(B39="","",IF(B39=$B$15-$J$15,"",IF(B39+6.3&lt;$B$15,B39+6.3,$B$15-$J$15)))</f>
        <v/>
      </c>
      <c r="C40" s="133" t="str">
        <f>IF(B40="","",$E$13+((#REF!-$E$13)/$B$15)*B40)</f>
        <v/>
      </c>
      <c r="D40" s="133" t="str">
        <f>IF(B40="","",($G$13+$N$15)+(B40*#REF!))</f>
        <v/>
      </c>
      <c r="E40" s="133" t="str">
        <f>IF(B40="","",F40+($F$15+$E$15))</f>
        <v/>
      </c>
      <c r="F40" s="133" t="str">
        <f>IFERROR(IF($E$15&lt;&gt;0,IF(B40="","",D40-(($M$15+$N$15*2)+$F$15+$E$15)),IF(B40="","",D40-(($M$15+$N$15*2)+$F$15+$E$15))),"")</f>
        <v/>
      </c>
      <c r="G40" s="133" t="str">
        <f>IF(B40="","",AVERAGE(IF(B39="","",ROUND((C39-F39),3)),IF(B40="","",ROUND((C40-F40),3)))*(B40-B39)*#REF!)</f>
        <v/>
      </c>
      <c r="H40" s="133">
        <f>IF(B40&lt;&gt;"",ROUND(#REF!*$F$15,3),0)</f>
        <v>0</v>
      </c>
      <c r="I40" s="133" t="str">
        <f t="shared" si="6"/>
        <v/>
      </c>
      <c r="J40" s="134">
        <f>IF(D40&lt;&gt;"",ROUND(#REF!*$E$15,3),0)</f>
        <v>0</v>
      </c>
      <c r="K40" s="74"/>
      <c r="L40" s="75"/>
      <c r="M40" s="75"/>
      <c r="N40" s="76"/>
      <c r="S40" s="14"/>
      <c r="U40" s="16"/>
      <c r="V40" s="16"/>
    </row>
    <row r="41" spans="1:22" ht="16.2" customHeight="1" thickBot="1" x14ac:dyDescent="0.35">
      <c r="A41" s="77"/>
      <c r="B41" s="202">
        <f>MAX(B17:B36)-MIN(B17:B36)</f>
        <v>32</v>
      </c>
      <c r="C41" s="82"/>
      <c r="D41" s="83"/>
      <c r="E41" s="204"/>
      <c r="F41" s="206"/>
      <c r="G41" s="171">
        <f>IFERROR(AVERAGE(G17:G36),"")</f>
        <v>0.7228749999999593</v>
      </c>
      <c r="H41" s="171">
        <f>IFERROR(AVERAGE(H17:H36),"")</f>
        <v>0.41000000000000003</v>
      </c>
      <c r="I41" s="171">
        <f>IFERROR(AVERAGE(I17:I36),"")</f>
        <v>0.31287499999995927</v>
      </c>
      <c r="J41" s="166" t="str">
        <f>IFERROR(AVERAGE(J17:J36),"")</f>
        <v/>
      </c>
      <c r="K41" s="168"/>
      <c r="L41" s="189"/>
      <c r="M41" s="185"/>
      <c r="N41" s="187"/>
      <c r="S41" s="14"/>
      <c r="U41" s="16"/>
      <c r="V41" s="16"/>
    </row>
    <row r="42" spans="1:22" ht="33" customHeight="1" thickBot="1" x14ac:dyDescent="0.35">
      <c r="A42" s="84"/>
      <c r="B42" s="203"/>
      <c r="C42" s="85"/>
      <c r="D42" s="86"/>
      <c r="E42" s="205"/>
      <c r="F42" s="207"/>
      <c r="G42" s="172"/>
      <c r="H42" s="172"/>
      <c r="I42" s="172"/>
      <c r="J42" s="167"/>
      <c r="K42" s="169"/>
      <c r="L42" s="190"/>
      <c r="M42" s="186"/>
      <c r="N42" s="188"/>
      <c r="S42" s="14"/>
      <c r="U42" s="16"/>
      <c r="V42" s="16"/>
    </row>
    <row r="43" spans="1:22" ht="23.4" customHeight="1" thickTop="1" thickBot="1" x14ac:dyDescent="0.35">
      <c r="A43" s="84"/>
      <c r="B43" s="153" t="s">
        <v>26</v>
      </c>
      <c r="C43" s="153"/>
      <c r="D43" s="153"/>
      <c r="E43" s="153"/>
      <c r="F43" s="153"/>
      <c r="G43" s="153"/>
      <c r="H43" s="87"/>
      <c r="I43" s="153" t="s">
        <v>27</v>
      </c>
      <c r="J43" s="153"/>
      <c r="K43" s="154"/>
      <c r="L43" s="154"/>
      <c r="M43" s="154"/>
      <c r="N43" s="155"/>
      <c r="S43" s="14"/>
      <c r="U43" s="16"/>
      <c r="V43" s="16"/>
    </row>
    <row r="44" spans="1:22" ht="23.4" customHeight="1" thickTop="1" thickBot="1" x14ac:dyDescent="0.35">
      <c r="A44" s="77"/>
      <c r="B44" s="179" t="s">
        <v>66</v>
      </c>
      <c r="C44" s="180"/>
      <c r="D44" s="88" t="s">
        <v>67</v>
      </c>
      <c r="E44" s="89" t="s">
        <v>68</v>
      </c>
      <c r="F44" s="89" t="s">
        <v>69</v>
      </c>
      <c r="G44" s="89" t="s">
        <v>72</v>
      </c>
      <c r="H44" s="90" t="s">
        <v>70</v>
      </c>
      <c r="I44" s="181" t="s">
        <v>66</v>
      </c>
      <c r="J44" s="182"/>
      <c r="K44" s="91" t="s">
        <v>67</v>
      </c>
      <c r="L44" s="92" t="s">
        <v>68</v>
      </c>
      <c r="M44" s="92" t="s">
        <v>69</v>
      </c>
      <c r="N44" s="93" t="s">
        <v>70</v>
      </c>
      <c r="S44" s="14"/>
      <c r="U44" s="16"/>
      <c r="V44" s="16"/>
    </row>
    <row r="45" spans="1:22" ht="23.4" customHeight="1" thickTop="1" x14ac:dyDescent="0.3">
      <c r="A45" s="77"/>
      <c r="B45" s="177" t="s">
        <v>79</v>
      </c>
      <c r="C45" s="178"/>
      <c r="D45" s="113">
        <f>B41</f>
        <v>32</v>
      </c>
      <c r="E45" s="113">
        <f>G15</f>
        <v>0.6</v>
      </c>
      <c r="F45" s="113">
        <f>IFERROR(G41,0)</f>
        <v>0.7228749999999593</v>
      </c>
      <c r="G45" s="94"/>
      <c r="H45" s="117">
        <f>ROUND(PRODUCT(D45:F45),2)</f>
        <v>13.88</v>
      </c>
      <c r="I45" s="183" t="str">
        <f>IF($F$1=$P$1,"","Tubería Filtro")</f>
        <v/>
      </c>
      <c r="J45" s="184"/>
      <c r="K45" s="114" t="str">
        <f>IF(I45&lt;&gt;"",$B$41,"")</f>
        <v/>
      </c>
      <c r="L45" s="96"/>
      <c r="M45" s="114" t="str">
        <f>IF(I45&lt;&gt;"",$K$13,"")</f>
        <v/>
      </c>
      <c r="N45" s="115">
        <f>PRODUCT(K45:M45)</f>
        <v>0</v>
      </c>
      <c r="S45" s="14"/>
      <c r="U45" s="16"/>
      <c r="V45" s="16"/>
    </row>
    <row r="46" spans="1:22" ht="23.4" customHeight="1" x14ac:dyDescent="0.3">
      <c r="A46" s="77"/>
      <c r="B46" s="158" t="s">
        <v>63</v>
      </c>
      <c r="C46" s="159"/>
      <c r="D46" s="116">
        <f>D45</f>
        <v>32</v>
      </c>
      <c r="E46" s="116">
        <f>E45</f>
        <v>0.6</v>
      </c>
      <c r="F46" s="97">
        <v>0.05</v>
      </c>
      <c r="G46" s="97"/>
      <c r="H46" s="117">
        <f>ROUND(PRODUCT(D46:F46),2)</f>
        <v>0.96</v>
      </c>
      <c r="I46" s="170" t="str">
        <f>IF($F$1=$P$1,"Area 1","")</f>
        <v>Area 1</v>
      </c>
      <c r="J46" s="165"/>
      <c r="K46" s="114">
        <f>IF(I46&lt;&gt;"",$B$41,"")</f>
        <v>32</v>
      </c>
      <c r="L46" s="98"/>
      <c r="M46" s="118">
        <f>IF(I46&lt;&gt;"",$B$15,"")</f>
        <v>0.01</v>
      </c>
      <c r="N46" s="115">
        <f>IF(I46&lt;&gt;"",PRODUCT(K46:M46),"")</f>
        <v>0.32</v>
      </c>
      <c r="S46" s="14"/>
      <c r="U46" s="16"/>
      <c r="V46" s="16"/>
    </row>
    <row r="47" spans="1:22" ht="23.4" customHeight="1" x14ac:dyDescent="0.3">
      <c r="A47" s="77"/>
      <c r="B47" s="158" t="s">
        <v>74</v>
      </c>
      <c r="C47" s="159"/>
      <c r="D47" s="116">
        <f>D45</f>
        <v>32</v>
      </c>
      <c r="E47" s="97"/>
      <c r="F47" s="97"/>
      <c r="G47" s="97"/>
      <c r="H47" s="117">
        <f t="shared" ref="H47:H50" si="7">ROUND(PRODUCT(D47:F47),2)</f>
        <v>32</v>
      </c>
      <c r="I47" s="170" t="str">
        <f>IF($F$1=$P$1,"Area 2","")</f>
        <v>Area 2</v>
      </c>
      <c r="J47" s="165"/>
      <c r="K47" s="114">
        <f>IF(I47&lt;&gt;"",$B$41,"")</f>
        <v>32</v>
      </c>
      <c r="L47" s="98"/>
      <c r="M47" s="118">
        <f>IF(I47&lt;&gt;"",$C$15,"")</f>
        <v>0</v>
      </c>
      <c r="N47" s="115">
        <f>IF(I47&lt;&gt;"",PRODUCT(K47:M47),"")</f>
        <v>0</v>
      </c>
      <c r="S47" s="14"/>
      <c r="U47" s="16"/>
      <c r="V47" s="16"/>
    </row>
    <row r="48" spans="1:22" ht="21.6" customHeight="1" x14ac:dyDescent="0.3">
      <c r="A48" s="77"/>
      <c r="B48" s="158" t="s">
        <v>81</v>
      </c>
      <c r="C48" s="159"/>
      <c r="D48" s="116">
        <f>D45</f>
        <v>32</v>
      </c>
      <c r="E48" s="116">
        <f>E45</f>
        <v>0.6</v>
      </c>
      <c r="F48" s="116">
        <f>IFERROR(H41,0)</f>
        <v>0.41000000000000003</v>
      </c>
      <c r="G48" s="116">
        <f>IF($F$1=$P$1,N46,N45)</f>
        <v>0.32</v>
      </c>
      <c r="H48" s="117">
        <f>ROUND(PRODUCT(D48:F48),2)-G48</f>
        <v>7.55</v>
      </c>
      <c r="I48" s="164" t="s">
        <v>71</v>
      </c>
      <c r="J48" s="165"/>
      <c r="K48" s="95"/>
      <c r="L48" s="98"/>
      <c r="M48" s="98"/>
      <c r="N48" s="99"/>
    </row>
    <row r="49" spans="1:14" ht="21.6" customHeight="1" x14ac:dyDescent="0.3">
      <c r="A49" s="77"/>
      <c r="B49" s="158" t="s">
        <v>64</v>
      </c>
      <c r="C49" s="159"/>
      <c r="D49" s="116">
        <f>D45</f>
        <v>32</v>
      </c>
      <c r="E49" s="116">
        <f>E45</f>
        <v>0.6</v>
      </c>
      <c r="F49" s="116">
        <f>IFERROR(I41,0)</f>
        <v>0.31287499999995927</v>
      </c>
      <c r="G49" s="116">
        <f>IF($F$1=$P$1,N47,0)</f>
        <v>0</v>
      </c>
      <c r="H49" s="117">
        <f t="shared" si="7"/>
        <v>6.01</v>
      </c>
      <c r="I49" s="100"/>
      <c r="J49" s="101"/>
      <c r="K49" s="102"/>
      <c r="L49" s="103"/>
      <c r="M49" s="103"/>
      <c r="N49" s="104"/>
    </row>
    <row r="50" spans="1:14" ht="18.75" customHeight="1" thickBot="1" x14ac:dyDescent="0.35">
      <c r="A50" s="77"/>
      <c r="B50" s="156" t="s">
        <v>65</v>
      </c>
      <c r="C50" s="157"/>
      <c r="D50" s="119">
        <f>D45</f>
        <v>32</v>
      </c>
      <c r="E50" s="119" t="str">
        <f>J41</f>
        <v/>
      </c>
      <c r="F50" s="105"/>
      <c r="G50" s="105"/>
      <c r="H50" s="120">
        <f t="shared" si="7"/>
        <v>32</v>
      </c>
      <c r="I50" s="160"/>
      <c r="J50" s="161"/>
      <c r="K50" s="106"/>
      <c r="L50" s="107"/>
      <c r="M50" s="107"/>
      <c r="N50" s="108"/>
    </row>
    <row r="51" spans="1:14" ht="10.5" customHeight="1" thickTop="1" x14ac:dyDescent="0.3">
      <c r="A51" s="77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10"/>
    </row>
    <row r="52" spans="1:14" ht="21.6" customHeight="1" x14ac:dyDescent="0.3">
      <c r="A52" s="77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</row>
    <row r="53" spans="1:14" ht="21.6" customHeight="1" x14ac:dyDescent="0.3">
      <c r="A53" s="77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</row>
    <row r="54" spans="1:14" ht="21.6" customHeight="1" x14ac:dyDescent="0.3">
      <c r="A54" s="77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</row>
    <row r="55" spans="1:14" ht="21.6" customHeight="1" x14ac:dyDescent="0.3">
      <c r="A55" s="77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</row>
    <row r="56" spans="1:14" ht="21.6" customHeight="1" x14ac:dyDescent="0.3">
      <c r="A56" s="77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</row>
    <row r="57" spans="1:14" ht="21.6" customHeight="1" x14ac:dyDescent="0.3">
      <c r="A57" s="77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</row>
    <row r="58" spans="1:14" ht="21.6" customHeight="1" x14ac:dyDescent="0.3">
      <c r="A58" s="77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10"/>
    </row>
    <row r="59" spans="1:14" ht="21.6" customHeight="1" x14ac:dyDescent="0.3">
      <c r="A59" s="77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10"/>
    </row>
    <row r="60" spans="1:14" ht="21.6" customHeight="1" x14ac:dyDescent="0.3">
      <c r="A60" s="77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10"/>
    </row>
    <row r="61" spans="1:14" ht="21.6" customHeight="1" x14ac:dyDescent="0.3">
      <c r="A61" s="77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10"/>
    </row>
    <row r="62" spans="1:14" ht="21.6" customHeight="1" x14ac:dyDescent="0.3">
      <c r="A62" s="77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10"/>
    </row>
    <row r="63" spans="1:14" ht="29.25" customHeight="1" thickBot="1" x14ac:dyDescent="0.35">
      <c r="A63" s="151"/>
      <c r="B63" s="152"/>
      <c r="C63" s="152"/>
      <c r="D63" s="152"/>
      <c r="E63" s="152"/>
      <c r="F63" s="152"/>
      <c r="G63" s="152"/>
      <c r="H63" s="162"/>
      <c r="I63" s="162"/>
      <c r="J63" s="162"/>
      <c r="K63" s="162"/>
      <c r="L63" s="162"/>
      <c r="M63" s="162"/>
      <c r="N63" s="163"/>
    </row>
    <row r="64" spans="1:14" ht="18.600000000000001" customHeight="1" x14ac:dyDescent="0.3">
      <c r="A64" s="149" t="s">
        <v>73</v>
      </c>
      <c r="B64" s="147"/>
      <c r="C64" s="147"/>
      <c r="D64" s="147"/>
      <c r="E64" s="147"/>
      <c r="F64" s="147"/>
      <c r="G64" s="150"/>
      <c r="H64" s="146" t="s">
        <v>19</v>
      </c>
      <c r="I64" s="147"/>
      <c r="J64" s="147"/>
      <c r="K64" s="147"/>
      <c r="L64" s="147"/>
      <c r="M64" s="147"/>
      <c r="N64" s="148"/>
    </row>
    <row r="65" spans="1:14" ht="32.4" customHeight="1" x14ac:dyDescent="0.35">
      <c r="A65" s="144" t="s">
        <v>75</v>
      </c>
      <c r="B65" s="139"/>
      <c r="C65" s="139"/>
      <c r="D65" s="139"/>
      <c r="E65" s="139"/>
      <c r="F65" s="139"/>
      <c r="G65" s="145"/>
      <c r="H65" s="138" t="s">
        <v>77</v>
      </c>
      <c r="I65" s="139"/>
      <c r="J65" s="139"/>
      <c r="K65" s="139"/>
      <c r="L65" s="139"/>
      <c r="M65" s="139"/>
      <c r="N65" s="140"/>
    </row>
    <row r="66" spans="1:14" ht="17.399999999999999" customHeight="1" thickBot="1" x14ac:dyDescent="0.35">
      <c r="A66" s="141" t="s">
        <v>76</v>
      </c>
      <c r="B66" s="142"/>
      <c r="C66" s="142"/>
      <c r="D66" s="142"/>
      <c r="E66" s="142"/>
      <c r="F66" s="142"/>
      <c r="G66" s="143"/>
      <c r="H66" s="135" t="s">
        <v>78</v>
      </c>
      <c r="I66" s="136"/>
      <c r="J66" s="136"/>
      <c r="K66" s="136"/>
      <c r="L66" s="136"/>
      <c r="M66" s="136"/>
      <c r="N66" s="137"/>
    </row>
    <row r="67" spans="1:14" ht="15" thickTop="1" x14ac:dyDescent="0.3"/>
  </sheetData>
  <sheetProtection algorithmName="SHA-512" hashValue="l94XZBmK3S9CEpb9utsE+LWLw4F8D+wPvNLb4qVk/hUZ0FSazfyofOOXC8mLKd4ididedGv77MMY870+6epHhA==" saltValue="0SeQFXT9Nzuwci/4YmMRFA==" spinCount="100000" sheet="1" objects="1" scenarios="1"/>
  <mergeCells count="55">
    <mergeCell ref="M4:N4"/>
    <mergeCell ref="F1:L4"/>
    <mergeCell ref="M1:N2"/>
    <mergeCell ref="M3:N3"/>
    <mergeCell ref="A1:E4"/>
    <mergeCell ref="G41:G42"/>
    <mergeCell ref="H41:H42"/>
    <mergeCell ref="B5:C5"/>
    <mergeCell ref="D5:F5"/>
    <mergeCell ref="G5:N5"/>
    <mergeCell ref="B6:C6"/>
    <mergeCell ref="D6:F6"/>
    <mergeCell ref="G6:N8"/>
    <mergeCell ref="B7:C7"/>
    <mergeCell ref="D7:F7"/>
    <mergeCell ref="B8:C8"/>
    <mergeCell ref="D8:F8"/>
    <mergeCell ref="M13:N13"/>
    <mergeCell ref="M12:N12"/>
    <mergeCell ref="B45:C45"/>
    <mergeCell ref="B44:C44"/>
    <mergeCell ref="I44:J44"/>
    <mergeCell ref="I45:J45"/>
    <mergeCell ref="M41:M42"/>
    <mergeCell ref="N41:N42"/>
    <mergeCell ref="L41:L42"/>
    <mergeCell ref="K16:N16"/>
    <mergeCell ref="K23:K24"/>
    <mergeCell ref="K30:K31"/>
    <mergeCell ref="L18:N19"/>
    <mergeCell ref="B41:B42"/>
    <mergeCell ref="E41:E42"/>
    <mergeCell ref="F41:F42"/>
    <mergeCell ref="J41:J42"/>
    <mergeCell ref="K41:K42"/>
    <mergeCell ref="I46:J46"/>
    <mergeCell ref="I47:J47"/>
    <mergeCell ref="I41:I42"/>
    <mergeCell ref="A63:G63"/>
    <mergeCell ref="B43:G43"/>
    <mergeCell ref="I43:N43"/>
    <mergeCell ref="B50:C50"/>
    <mergeCell ref="B48:C48"/>
    <mergeCell ref="B47:C47"/>
    <mergeCell ref="B46:C46"/>
    <mergeCell ref="I50:J50"/>
    <mergeCell ref="B49:C49"/>
    <mergeCell ref="H63:N63"/>
    <mergeCell ref="I48:J48"/>
    <mergeCell ref="H66:N66"/>
    <mergeCell ref="H65:N65"/>
    <mergeCell ref="A66:G66"/>
    <mergeCell ref="A65:G65"/>
    <mergeCell ref="H64:N64"/>
    <mergeCell ref="A64:G64"/>
  </mergeCells>
  <conditionalFormatting sqref="B25:N30 L24:N24 B32:N40 B31:J31 L31:N31 E24:J24 E21:N23 E19:K20 E18:L18 E17:N17 B17:D24">
    <cfRule type="cellIs" dxfId="27" priority="1" operator="equal">
      <formula>0</formula>
    </cfRule>
  </conditionalFormatting>
  <conditionalFormatting sqref="D5:F7">
    <cfRule type="cellIs" dxfId="26" priority="6" operator="equal">
      <formula>0</formula>
    </cfRule>
  </conditionalFormatting>
  <dataValidations count="3">
    <dataValidation type="list" allowBlank="1" showInputMessage="1" showErrorMessage="1" sqref="F1:L4" xr:uid="{0D98F92C-EDD5-4E51-881C-1BFFB78CC852}">
      <formula1>$P$1:$P$2</formula1>
    </dataValidation>
    <dataValidation type="list" allowBlank="1" showInputMessage="1" showErrorMessage="1" errorTitle="Altura de atraque" error="Seleccione la relación de altura del atraque: 1:2 (medio tubo), 1:3 (altura al tercio) o 1:4." sqref="D15" xr:uid="{935F013A-FAA3-497F-AF83-33AF4AC6345E}">
      <formula1>"1:1,1:2,1:3,1:4,1:6"</formula1>
    </dataValidation>
    <dataValidation type="custom" allowBlank="1" showInputMessage="1" showErrorMessage="1" errorTitle="Campo no editable" error="No se puede diligenciar la Subrasante de Vía porque la celda D18 está vacía (esta planilla no aplica Subrasante)." promptTitle="Subrasante de Vía" prompt="Solo se diligencia si D18 muestra 'Subrasante de Vía'." sqref="D25:D36" xr:uid="{2FCBE0A9-D603-4C77-A255-D39C1CBE8589}">
      <formula1>$D$16&lt;&gt;""</formula1>
    </dataValidation>
  </dataValidations>
  <printOptions horizontalCentered="1" verticalCentered="1"/>
  <pageMargins left="0.23622047244094491" right="0.19685039370078741" top="0.47244094488188981" bottom="0.23622047244094491" header="0.31496062992125984" footer="0.31496062992125984"/>
  <pageSetup scale="50" orientation="portrait" r:id="rId1"/>
  <headerFooter>
    <oddHeader>&amp;L&amp;"Arial Narrow,Normal"&amp;12Sistema Integrado de Control de Obra Ejecutada &amp;"Arial Narrow,Negrita"S.I.C.O.E.&amp;R&amp;"Arial Narrow,Normal"&amp;12 Módulo Topografía (Redes)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2ECD-C03C-4CAC-A054-80274CBB2E90}">
  <sheetPr codeName="Hoja1"/>
  <dimension ref="A7:V8"/>
  <sheetViews>
    <sheetView workbookViewId="0">
      <selection activeCell="F17" sqref="F17"/>
    </sheetView>
  </sheetViews>
  <sheetFormatPr baseColWidth="10" defaultRowHeight="14.4" x14ac:dyDescent="0.3"/>
  <cols>
    <col min="1" max="1" width="24.109375" customWidth="1"/>
    <col min="2" max="2" width="26" customWidth="1"/>
    <col min="3" max="4" width="24" customWidth="1"/>
    <col min="5" max="5" width="28.109375" customWidth="1"/>
    <col min="6" max="6" width="15.5546875" customWidth="1"/>
    <col min="7" max="7" width="22.88671875" customWidth="1"/>
    <col min="8" max="8" width="24.6640625" customWidth="1"/>
    <col min="9" max="9" width="22.6640625" customWidth="1"/>
    <col min="10" max="10" width="22.33203125" customWidth="1"/>
    <col min="11" max="11" width="26.88671875" customWidth="1"/>
    <col min="12" max="12" width="14.33203125" customWidth="1"/>
    <col min="13" max="13" width="24" customWidth="1"/>
    <col min="14" max="14" width="12.109375" customWidth="1"/>
    <col min="15" max="15" width="13.88671875" customWidth="1"/>
    <col min="16" max="16" width="12.33203125" customWidth="1"/>
    <col min="17" max="17" width="21.5546875" bestFit="1" customWidth="1"/>
    <col min="18" max="18" width="20.109375" bestFit="1" customWidth="1"/>
    <col min="19" max="19" width="25" bestFit="1" customWidth="1"/>
    <col min="20" max="22" width="22.6640625" customWidth="1"/>
  </cols>
  <sheetData>
    <row r="7" spans="1:22" x14ac:dyDescent="0.3">
      <c r="A7" s="1" t="s">
        <v>5</v>
      </c>
      <c r="B7" s="2" t="s">
        <v>6</v>
      </c>
      <c r="C7" s="2" t="s">
        <v>7</v>
      </c>
      <c r="D7" s="2" t="s">
        <v>28</v>
      </c>
      <c r="E7" s="2" t="s">
        <v>8</v>
      </c>
      <c r="F7" s="2" t="s">
        <v>9</v>
      </c>
      <c r="G7" s="2" t="s">
        <v>10</v>
      </c>
      <c r="H7" s="2" t="s">
        <v>11</v>
      </c>
      <c r="I7" s="2" t="s">
        <v>12</v>
      </c>
      <c r="J7" s="2" t="s">
        <v>13</v>
      </c>
      <c r="K7" s="2" t="s">
        <v>14</v>
      </c>
      <c r="L7" s="2" t="s">
        <v>15</v>
      </c>
      <c r="M7" s="2" t="s">
        <v>18</v>
      </c>
      <c r="N7" s="2" t="s">
        <v>16</v>
      </c>
      <c r="O7" s="2" t="s">
        <v>1</v>
      </c>
      <c r="P7" s="2" t="s">
        <v>17</v>
      </c>
      <c r="Q7" s="2" t="s">
        <v>21</v>
      </c>
      <c r="R7" s="2" t="s">
        <v>23</v>
      </c>
      <c r="S7" s="2" t="s">
        <v>24</v>
      </c>
      <c r="T7" s="2" t="s">
        <v>22</v>
      </c>
      <c r="U7" s="2" t="s">
        <v>20</v>
      </c>
      <c r="V7" s="3" t="s">
        <v>25</v>
      </c>
    </row>
    <row r="8" spans="1:22" x14ac:dyDescent="0.3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planilla</vt:lpstr>
      <vt:lpstr>planilla!Área_de_impresión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Andres Jaimes Arenas</dc:creator>
  <cp:lastModifiedBy>Andres Jaimes</cp:lastModifiedBy>
  <cp:lastPrinted>2026-09-18T19:16:20Z</cp:lastPrinted>
  <dcterms:created xsi:type="dcterms:W3CDTF">2022-05-04T17:37:37Z</dcterms:created>
  <dcterms:modified xsi:type="dcterms:W3CDTF">2026-09-18T21:42:08Z</dcterms:modified>
</cp:coreProperties>
</file>